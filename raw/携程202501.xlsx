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 activeTab="4"/>
  </bookViews>
  <sheets>
    <sheet name="预存汇总页" sheetId="1" r:id="rId1"/>
    <sheet name="分类汇总" sheetId="2" r:id="rId2"/>
    <sheet name="预存机票" sheetId="3" r:id="rId3"/>
    <sheet name="预存会员酒店" sheetId="4" r:id="rId4"/>
    <sheet name="预存增值" sheetId="5" r:id="rId5"/>
  </sheets>
  <externalReferences>
    <externalReference r:id="rId6"/>
  </externalReferences>
  <definedNames>
    <definedName name="_xlnm._FilterDatabase" localSheetId="2" hidden="1">预存机票!$A$1:$AL$126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<sst xmlns="http://schemas.openxmlformats.org/spreadsheetml/2006/main" count="5056" uniqueCount="1151">
  <si>
    <t>账户信息</t>
  </si>
  <si>
    <t/>
  </si>
  <si>
    <t>公司名称</t>
  </si>
  <si>
    <t>深圳小鹅网络技术有限公司</t>
  </si>
  <si>
    <t>主账户名称</t>
  </si>
  <si>
    <t>344778_上海1</t>
  </si>
  <si>
    <t>账单周期</t>
  </si>
  <si>
    <t>2024.12.26-2025.01.25</t>
  </si>
  <si>
    <t>携程收款信息</t>
  </si>
  <si>
    <t>收款银行名称</t>
  </si>
  <si>
    <t>上海携程宏睿国际旅行社有限公司</t>
  </si>
  <si>
    <t>银行账号</t>
  </si>
  <si>
    <t>9558851001011988371</t>
  </si>
  <si>
    <t>收款开户行</t>
  </si>
  <si>
    <t>中国工商银行上海市合川路支行</t>
  </si>
  <si>
    <t>付款编码（请贵司在汇款时备注）</t>
  </si>
  <si>
    <t>t6de8dc42t</t>
  </si>
  <si>
    <t>项目</t>
  </si>
  <si>
    <t>金额</t>
  </si>
  <si>
    <t>凭证类型</t>
  </si>
  <si>
    <t>凭证说明</t>
  </si>
  <si>
    <t>一、本期账单消费金额</t>
  </si>
  <si>
    <t xml:space="preserve">    预存机票</t>
  </si>
  <si>
    <t xml:space="preserve">        国内机票金额</t>
  </si>
  <si>
    <t>行程单</t>
  </si>
  <si>
    <t>行程单会按照贵司的指定周期定期配送到贵司</t>
  </si>
  <si>
    <t xml:space="preserve">        国内机票退票费</t>
  </si>
  <si>
    <t>普票-代订机票</t>
  </si>
  <si>
    <t xml:space="preserve">        机票保险</t>
  </si>
  <si>
    <t>机票保险电子发票</t>
  </si>
  <si>
    <t>保险电子发票已单独发送给预订人指定邮箱，可在结算端下载全量发票</t>
  </si>
  <si>
    <t xml:space="preserve">        国内附加产品</t>
  </si>
  <si>
    <t>普票-代订附加产品</t>
  </si>
  <si>
    <t xml:space="preserve">        国内机票服务费</t>
  </si>
  <si>
    <t>普票-代理服务费</t>
  </si>
  <si>
    <t xml:space="preserve">    预存会员酒店</t>
  </si>
  <si>
    <t xml:space="preserve">        国内酒店房费</t>
  </si>
  <si>
    <t>专票-代订住宿费</t>
  </si>
  <si>
    <t xml:space="preserve">        国内手续费</t>
  </si>
  <si>
    <t xml:space="preserve">    预存增值</t>
  </si>
  <si>
    <t xml:space="preserve">        用车金额</t>
  </si>
  <si>
    <t>普票-机票用车费</t>
  </si>
  <si>
    <t>本期账单总计</t>
  </si>
  <si>
    <t>凭证汇总</t>
  </si>
  <si>
    <t>成本中心1</t>
  </si>
  <si>
    <t>合计金额</t>
  </si>
  <si>
    <t>分类字段</t>
  </si>
  <si>
    <t>机票消费</t>
  </si>
  <si>
    <t>月结国内机票金额</t>
  </si>
  <si>
    <t>月结国内机票退票费</t>
  </si>
  <si>
    <t>月结机票保险</t>
  </si>
  <si>
    <t>月结国内附加产品</t>
  </si>
  <si>
    <t>月结国内机票服务费</t>
  </si>
  <si>
    <t>总计</t>
  </si>
  <si>
    <t>会员酒店</t>
  </si>
  <si>
    <t>月结国内酒店房费</t>
  </si>
  <si>
    <t>月结国内手续费</t>
  </si>
  <si>
    <t>增值</t>
  </si>
  <si>
    <t>月结用车金额</t>
  </si>
  <si>
    <t>订单号</t>
  </si>
  <si>
    <t>机票使用情况</t>
  </si>
  <si>
    <t>快递单号</t>
  </si>
  <si>
    <t>卡号</t>
  </si>
  <si>
    <t>持卡人</t>
  </si>
  <si>
    <t>乘机人</t>
  </si>
  <si>
    <t>中心</t>
  </si>
  <si>
    <t>部门</t>
  </si>
  <si>
    <t>预订日期</t>
  </si>
  <si>
    <t>起飞时间</t>
  </si>
  <si>
    <t>国际/国内</t>
  </si>
  <si>
    <t>改签后起飞时间</t>
  </si>
  <si>
    <t>改签后航班</t>
  </si>
  <si>
    <t>航程</t>
  </si>
  <si>
    <t>航班</t>
  </si>
  <si>
    <t>舱等</t>
  </si>
  <si>
    <t>成交净价</t>
  </si>
  <si>
    <t>民航基金</t>
  </si>
  <si>
    <t>燃油税</t>
  </si>
  <si>
    <t>送票费</t>
  </si>
  <si>
    <t>保险费</t>
  </si>
  <si>
    <t>商旅管理服务费</t>
  </si>
  <si>
    <t>改签费</t>
  </si>
  <si>
    <t>退票费</t>
  </si>
  <si>
    <t>优惠券</t>
  </si>
  <si>
    <t>改签商旅管理服务费</t>
  </si>
  <si>
    <t>退票商旅管理服务费</t>
  </si>
  <si>
    <t>行程单管理服务费</t>
  </si>
  <si>
    <t>商旅超能增值包</t>
  </si>
  <si>
    <t>增值产品费</t>
  </si>
  <si>
    <t>垫资服务费</t>
  </si>
  <si>
    <t>实收/实付</t>
  </si>
  <si>
    <t>备注</t>
  </si>
  <si>
    <t>票号</t>
  </si>
  <si>
    <t>改签后票号</t>
  </si>
  <si>
    <t>行程单号</t>
  </si>
  <si>
    <t>改签行程单号</t>
  </si>
  <si>
    <t>改签快递单号</t>
  </si>
  <si>
    <t>1132534146990577</t>
  </si>
  <si>
    <t>已退票</t>
  </si>
  <si>
    <t>2173667855</t>
  </si>
  <si>
    <t>周世坤</t>
  </si>
  <si>
    <t>国内</t>
  </si>
  <si>
    <t>北京-厦门</t>
  </si>
  <si>
    <t xml:space="preserve">CA1831 </t>
  </si>
  <si>
    <t>Y</t>
  </si>
  <si>
    <t>以往成交本月退票</t>
  </si>
  <si>
    <t>999-1504807143</t>
  </si>
  <si>
    <t>1132534154484017</t>
  </si>
  <si>
    <t>厦门-北京</t>
  </si>
  <si>
    <t xml:space="preserve">CA1834 </t>
  </si>
  <si>
    <t>999-1504807145</t>
  </si>
  <si>
    <t>1133633738809556</t>
  </si>
  <si>
    <t>未知</t>
  </si>
  <si>
    <t>1368932833021</t>
  </si>
  <si>
    <t>2173663118</t>
  </si>
  <si>
    <t>王津</t>
  </si>
  <si>
    <t>深圳-北京</t>
  </si>
  <si>
    <t xml:space="preserve">HU7712 </t>
  </si>
  <si>
    <t>880-2161615353</t>
  </si>
  <si>
    <t>5587560816</t>
  </si>
  <si>
    <t>1132534228749314</t>
  </si>
  <si>
    <t>已使用</t>
  </si>
  <si>
    <t>2173663496</t>
  </si>
  <si>
    <t>李宗巩</t>
  </si>
  <si>
    <t>深圳-合肥</t>
  </si>
  <si>
    <t xml:space="preserve">CZ8595 </t>
  </si>
  <si>
    <t>784-3023589330</t>
  </si>
  <si>
    <t>24448784210504122796</t>
  </si>
  <si>
    <t>1132534230525079</t>
  </si>
  <si>
    <t>2174014707</t>
  </si>
  <si>
    <t>余国才</t>
  </si>
  <si>
    <t>784-1508369747</t>
  </si>
  <si>
    <t>24448784210504122816</t>
  </si>
  <si>
    <t>1132534231307727</t>
  </si>
  <si>
    <t>2173667936</t>
  </si>
  <si>
    <t>左敏歌</t>
  </si>
  <si>
    <t>合肥-深圳</t>
  </si>
  <si>
    <t xml:space="preserve">DZ6220 </t>
  </si>
  <si>
    <t>893-1508758005</t>
  </si>
  <si>
    <t>24958893210504162511</t>
  </si>
  <si>
    <t>1132534288632914</t>
  </si>
  <si>
    <t>2703681686</t>
  </si>
  <si>
    <t>刘丛源</t>
  </si>
  <si>
    <t>武汉-沈阳</t>
  </si>
  <si>
    <t xml:space="preserve">HU7755 </t>
  </si>
  <si>
    <t>880-3025022091</t>
  </si>
  <si>
    <t>5587560814</t>
  </si>
  <si>
    <t>1132534291304193</t>
  </si>
  <si>
    <t>2170813858</t>
  </si>
  <si>
    <t>归颖琳</t>
  </si>
  <si>
    <t>丁海斌</t>
  </si>
  <si>
    <t>综合职能中心</t>
  </si>
  <si>
    <r>
      <rPr>
        <sz val="10"/>
        <rFont val="宋体"/>
        <charset val="134"/>
      </rPr>
      <t>培训组</t>
    </r>
    <r>
      <rPr>
        <sz val="10"/>
        <rFont val="Arial"/>
        <charset val="134"/>
      </rPr>
      <t>-1.15OneE</t>
    </r>
    <r>
      <rPr>
        <sz val="10"/>
        <rFont val="宋体"/>
        <charset val="134"/>
      </rPr>
      <t>培训老师</t>
    </r>
  </si>
  <si>
    <t>东营-西安</t>
  </si>
  <si>
    <t xml:space="preserve">MU6524 </t>
  </si>
  <si>
    <t>781-3025026454</t>
  </si>
  <si>
    <t>25318781215001020659</t>
  </si>
  <si>
    <t>1132534290855297</t>
  </si>
  <si>
    <t>1385907350921</t>
  </si>
  <si>
    <t>西安-深圳</t>
  </si>
  <si>
    <t xml:space="preserve">TV6039 </t>
  </si>
  <si>
    <t>088-2370933326</t>
  </si>
  <si>
    <t>5587915170</t>
  </si>
  <si>
    <t>1132534291438785</t>
  </si>
  <si>
    <t>深圳-上海</t>
  </si>
  <si>
    <t xml:space="preserve">HU7725 </t>
  </si>
  <si>
    <t>880-3025027029</t>
  </si>
  <si>
    <t>25468880215001373036</t>
  </si>
  <si>
    <t>1132534291205761</t>
  </si>
  <si>
    <t>上海-东营</t>
  </si>
  <si>
    <t xml:space="preserve">9C6687 </t>
  </si>
  <si>
    <t>089-0439350803</t>
  </si>
  <si>
    <t>25318786114000065488</t>
  </si>
  <si>
    <t>1132534292883246</t>
  </si>
  <si>
    <t>2173663192</t>
  </si>
  <si>
    <t>喻千里</t>
  </si>
  <si>
    <t>北京-深圳</t>
  </si>
  <si>
    <t xml:space="preserve">CA1367 </t>
  </si>
  <si>
    <t>999-1508829441</t>
  </si>
  <si>
    <t>24118999210504165558</t>
  </si>
  <si>
    <t>1132534291727187</t>
  </si>
  <si>
    <t>2173663458</t>
  </si>
  <si>
    <t>张云龙</t>
  </si>
  <si>
    <t>999-1508927349</t>
  </si>
  <si>
    <t>24118999210504165171</t>
  </si>
  <si>
    <t>1132534291840748</t>
  </si>
  <si>
    <t>2173663306</t>
  </si>
  <si>
    <t>陈海鹏</t>
  </si>
  <si>
    <t xml:space="preserve">CZ3566 </t>
  </si>
  <si>
    <t>784-3025029691</t>
  </si>
  <si>
    <t>24448784210504151326</t>
  </si>
  <si>
    <t>1132534292482936</t>
  </si>
  <si>
    <t>2173663530</t>
  </si>
  <si>
    <t>卢莹</t>
  </si>
  <si>
    <t>詹锦标</t>
  </si>
  <si>
    <t>784-3025029689</t>
  </si>
  <si>
    <t>24448784210504151163</t>
  </si>
  <si>
    <t>1133633804791106</t>
  </si>
  <si>
    <t>893-1508782797</t>
  </si>
  <si>
    <t>24958893210504162496</t>
  </si>
  <si>
    <t>1132534294558487</t>
  </si>
  <si>
    <t>893-1508987001</t>
  </si>
  <si>
    <t>24958893210504162500</t>
  </si>
  <si>
    <t>1132534300141716</t>
  </si>
  <si>
    <t xml:space="preserve">HU7711 </t>
  </si>
  <si>
    <t>880-2161827948</t>
  </si>
  <si>
    <t>5587560815</t>
  </si>
  <si>
    <t>1133633826977186</t>
  </si>
  <si>
    <t>2173663160</t>
  </si>
  <si>
    <t>林柏坤</t>
  </si>
  <si>
    <t xml:space="preserve">CA1304 </t>
  </si>
  <si>
    <t>999-1507354310</t>
  </si>
  <si>
    <t>24118999210504343098</t>
  </si>
  <si>
    <t>1133633826875766</t>
  </si>
  <si>
    <t>2174014533</t>
  </si>
  <si>
    <t>廖晓怡</t>
  </si>
  <si>
    <t>999-9577889952</t>
  </si>
  <si>
    <t>24118999210504343075</t>
  </si>
  <si>
    <t>1132534314728777</t>
  </si>
  <si>
    <t>2173663730</t>
  </si>
  <si>
    <t>赵海英</t>
  </si>
  <si>
    <t>深圳-成都</t>
  </si>
  <si>
    <t xml:space="preserve">EU2218 </t>
  </si>
  <si>
    <t>811-9577880212</t>
  </si>
  <si>
    <t>25518811215000409791</t>
  </si>
  <si>
    <t>1132534314547345</t>
  </si>
  <si>
    <t>2173663632</t>
  </si>
  <si>
    <t>吴惜青</t>
  </si>
  <si>
    <t>811-9577867664</t>
  </si>
  <si>
    <t>25518811215000409619</t>
  </si>
  <si>
    <t>1132534316269107</t>
  </si>
  <si>
    <t>2704684402</t>
  </si>
  <si>
    <t>梁锨琪</t>
  </si>
  <si>
    <t>深圳-石家庄</t>
  </si>
  <si>
    <t xml:space="preserve">ZH9137 </t>
  </si>
  <si>
    <t>479-1507559700</t>
  </si>
  <si>
    <t>25958479215000003524</t>
  </si>
  <si>
    <t>1132534338535621</t>
  </si>
  <si>
    <t>2173663554</t>
  </si>
  <si>
    <t>苏雪娇</t>
  </si>
  <si>
    <t>479-1507470433</t>
  </si>
  <si>
    <t>25958479215000003522</t>
  </si>
  <si>
    <t>1132534341596791</t>
  </si>
  <si>
    <t>2173663835</t>
  </si>
  <si>
    <t>安建周</t>
  </si>
  <si>
    <t xml:space="preserve">3U6875 </t>
  </si>
  <si>
    <t>成都-北京</t>
  </si>
  <si>
    <t>876-3025089449</t>
  </si>
  <si>
    <t>876-2444486606</t>
  </si>
  <si>
    <t>5587560901</t>
  </si>
  <si>
    <t>5587915028</t>
  </si>
  <si>
    <t>1132534342118966</t>
  </si>
  <si>
    <t xml:space="preserve">CZ3188 </t>
  </si>
  <si>
    <t>784-2238562777</t>
  </si>
  <si>
    <t>25448784110000006515</t>
  </si>
  <si>
    <t>1132534345657073</t>
  </si>
  <si>
    <t>未使用</t>
  </si>
  <si>
    <t>北京-广州</t>
  </si>
  <si>
    <t xml:space="preserve">HU7801 </t>
  </si>
  <si>
    <t>实际未出行，待出行后出票核销</t>
  </si>
  <si>
    <t>880-1507679866</t>
  </si>
  <si>
    <t>广州-北京</t>
  </si>
  <si>
    <t xml:space="preserve">HU7814 </t>
  </si>
  <si>
    <t>1133633856931106</t>
  </si>
  <si>
    <t xml:space="preserve">CA1341 </t>
  </si>
  <si>
    <t>999-2371780689</t>
  </si>
  <si>
    <t>5587915044</t>
  </si>
  <si>
    <t>1132534347330306</t>
  </si>
  <si>
    <t>479-1507821114</t>
  </si>
  <si>
    <t>25958479215000130709</t>
  </si>
  <si>
    <t>1132534350612064</t>
  </si>
  <si>
    <t>2173663753</t>
  </si>
  <si>
    <t>刘翊</t>
  </si>
  <si>
    <t xml:space="preserve">HU7714 </t>
  </si>
  <si>
    <t>880-2162110320</t>
  </si>
  <si>
    <t>25468880115000203732</t>
  </si>
  <si>
    <t>1132534352402437</t>
  </si>
  <si>
    <t>石家庄-深圳</t>
  </si>
  <si>
    <t xml:space="preserve">9C6540 </t>
  </si>
  <si>
    <t>089-0440062225</t>
  </si>
  <si>
    <t>25318786114000010082</t>
  </si>
  <si>
    <t>1132534365721851</t>
  </si>
  <si>
    <t>2173663754</t>
  </si>
  <si>
    <t>曾伟锋</t>
  </si>
  <si>
    <t>临沂-长春</t>
  </si>
  <si>
    <t xml:space="preserve">GJ8871 </t>
  </si>
  <si>
    <t>891-8816064037</t>
  </si>
  <si>
    <t>5587915029</t>
  </si>
  <si>
    <t>1132534363136514</t>
  </si>
  <si>
    <t xml:space="preserve">ZH9138 </t>
  </si>
  <si>
    <t>479-3025987992</t>
  </si>
  <si>
    <t>25958479215000223118</t>
  </si>
  <si>
    <t>1132534367844147</t>
  </si>
  <si>
    <t>479-3025987988</t>
  </si>
  <si>
    <t>25958479215000222857</t>
  </si>
  <si>
    <t>1132534365786467</t>
  </si>
  <si>
    <t>2173663665</t>
  </si>
  <si>
    <t>宋绪娟</t>
  </si>
  <si>
    <t>王晗</t>
  </si>
  <si>
    <t>郑州-深圳</t>
  </si>
  <si>
    <t xml:space="preserve">ZH9306 </t>
  </si>
  <si>
    <t>479-2357368204</t>
  </si>
  <si>
    <t>5587915030</t>
  </si>
  <si>
    <t>1132534423239265</t>
  </si>
  <si>
    <t>2173663164</t>
  </si>
  <si>
    <t xml:space="preserve">ZH9513 </t>
  </si>
  <si>
    <t>退票</t>
  </si>
  <si>
    <t>479-3025087577</t>
  </si>
  <si>
    <t>1132534422944289</t>
  </si>
  <si>
    <t xml:space="preserve">CA1338 </t>
  </si>
  <si>
    <t>999-3025087581</t>
  </si>
  <si>
    <t>25118999215001241196</t>
  </si>
  <si>
    <t>1132534426848631</t>
  </si>
  <si>
    <t>2173663681</t>
  </si>
  <si>
    <t>赵赞龙</t>
  </si>
  <si>
    <t xml:space="preserve">CZ3158 </t>
  </si>
  <si>
    <t>784-2239525709</t>
  </si>
  <si>
    <t>25448784110000080627</t>
  </si>
  <si>
    <t>1132534424673463</t>
  </si>
  <si>
    <t>784-2239586398</t>
  </si>
  <si>
    <t>25448784110000080631</t>
  </si>
  <si>
    <t>1132534426185448</t>
  </si>
  <si>
    <t>2173663142</t>
  </si>
  <si>
    <t>傅英</t>
  </si>
  <si>
    <t xml:space="preserve">CA1303 </t>
  </si>
  <si>
    <t>999-2381922905</t>
  </si>
  <si>
    <t>5587915032</t>
  </si>
  <si>
    <t>1132534426025212</t>
  </si>
  <si>
    <t>2173663780</t>
  </si>
  <si>
    <t>苏晓亮</t>
  </si>
  <si>
    <t>999-2381923029</t>
  </si>
  <si>
    <t>5587915031</t>
  </si>
  <si>
    <t>1132534425414071</t>
  </si>
  <si>
    <t>880-3026135019</t>
  </si>
  <si>
    <t>25468880215001237000</t>
  </si>
  <si>
    <t>1132534425872104</t>
  </si>
  <si>
    <t>880-3026135103</t>
  </si>
  <si>
    <t>25468880215001237121</t>
  </si>
  <si>
    <t>1133633937672636</t>
  </si>
  <si>
    <t>880-3026135136</t>
  </si>
  <si>
    <t>25468880215001236560</t>
  </si>
  <si>
    <t>1132534433403121</t>
  </si>
  <si>
    <t xml:space="preserve">HU7713 </t>
  </si>
  <si>
    <t>880-3028295352</t>
  </si>
  <si>
    <t>25468880215001253666</t>
  </si>
  <si>
    <t xml:space="preserve">HU7704 </t>
  </si>
  <si>
    <t>1132534432155896</t>
  </si>
  <si>
    <t>深圳-郑州</t>
  </si>
  <si>
    <t xml:space="preserve">HU7731 </t>
  </si>
  <si>
    <t>880-2162381267</t>
  </si>
  <si>
    <t>5587915033</t>
  </si>
  <si>
    <t>1132534434965076</t>
  </si>
  <si>
    <t>2173663662</t>
  </si>
  <si>
    <t>侯春龙</t>
  </si>
  <si>
    <t xml:space="preserve">CZ3192 </t>
  </si>
  <si>
    <t>784-2240070854</t>
  </si>
  <si>
    <t>25448784110000084635</t>
  </si>
  <si>
    <t>1132534438373972</t>
  </si>
  <si>
    <t>880-2162450338</t>
  </si>
  <si>
    <t>25468880115001237212</t>
  </si>
  <si>
    <t>1132534442156923</t>
  </si>
  <si>
    <t>长春-北京</t>
  </si>
  <si>
    <t xml:space="preserve">CA1648 </t>
  </si>
  <si>
    <t>999-3027439119</t>
  </si>
  <si>
    <t>25118999215000379391</t>
  </si>
  <si>
    <t>1133633956411996</t>
  </si>
  <si>
    <t>2175626462</t>
  </si>
  <si>
    <t>文涛</t>
  </si>
  <si>
    <t>上海-深圳</t>
  </si>
  <si>
    <t xml:space="preserve">HO1887 </t>
  </si>
  <si>
    <t>018-2337929294</t>
  </si>
  <si>
    <t>5587915045</t>
  </si>
  <si>
    <t>1132534449541948</t>
  </si>
  <si>
    <t>2173663765</t>
  </si>
  <si>
    <t>谷小萌</t>
  </si>
  <si>
    <t xml:space="preserve">HU7709 </t>
  </si>
  <si>
    <t>880-2162545252</t>
  </si>
  <si>
    <t>25468880115001044121</t>
  </si>
  <si>
    <t>1132534449074684</t>
  </si>
  <si>
    <t>1301963009622</t>
  </si>
  <si>
    <t xml:space="preserve">CA1398 </t>
  </si>
  <si>
    <t>999-2382189620</t>
  </si>
  <si>
    <t>5587632856</t>
  </si>
  <si>
    <t>1132534450863663</t>
  </si>
  <si>
    <t>2173865588</t>
  </si>
  <si>
    <t>闫立泽</t>
  </si>
  <si>
    <t xml:space="preserve">BK2747 </t>
  </si>
  <si>
    <t>866-2340669093</t>
  </si>
  <si>
    <t>5587915034</t>
  </si>
  <si>
    <t>1132534449263151</t>
  </si>
  <si>
    <t>999-2382191686</t>
  </si>
  <si>
    <t>5587632857</t>
  </si>
  <si>
    <t>1132534508220387</t>
  </si>
  <si>
    <t xml:space="preserve">ZH9115 </t>
  </si>
  <si>
    <t>479-2357488578</t>
  </si>
  <si>
    <t>5587915035</t>
  </si>
  <si>
    <t>1132534513307253</t>
  </si>
  <si>
    <t>2173663102</t>
  </si>
  <si>
    <t>刘涛</t>
  </si>
  <si>
    <t xml:space="preserve">KN5851 </t>
  </si>
  <si>
    <t>822-2170870710</t>
  </si>
  <si>
    <t>5587915037</t>
  </si>
  <si>
    <t>1132534513458613</t>
  </si>
  <si>
    <t xml:space="preserve">MF8336 </t>
  </si>
  <si>
    <t>731-8782371068</t>
  </si>
  <si>
    <t>5587915038</t>
  </si>
  <si>
    <t>1132534510449028</t>
  </si>
  <si>
    <t>2173663124</t>
  </si>
  <si>
    <t>刘骞</t>
  </si>
  <si>
    <t>731-8544506952</t>
  </si>
  <si>
    <t>5587915036</t>
  </si>
  <si>
    <t>1133634025086276</t>
  </si>
  <si>
    <t xml:space="preserve">MF1083 </t>
  </si>
  <si>
    <t xml:space="preserve">MF8349 </t>
  </si>
  <si>
    <t>731-8782372768</t>
  </si>
  <si>
    <t>731-8782442174</t>
  </si>
  <si>
    <t>5587600480</t>
  </si>
  <si>
    <t>5587915047</t>
  </si>
  <si>
    <t>1132534514050086</t>
  </si>
  <si>
    <t>2174958239</t>
  </si>
  <si>
    <t>符弟</t>
  </si>
  <si>
    <t>731-8782373043</t>
  </si>
  <si>
    <t>731-8782442415</t>
  </si>
  <si>
    <t>5587600479</t>
  </si>
  <si>
    <t>5587915039</t>
  </si>
  <si>
    <t>1133634020615206</t>
  </si>
  <si>
    <t>731-8544507818</t>
  </si>
  <si>
    <t>5587915046</t>
  </si>
  <si>
    <t>1132534517577873</t>
  </si>
  <si>
    <t>成都-深圳</t>
  </si>
  <si>
    <t xml:space="preserve">CA4323 </t>
  </si>
  <si>
    <t>999-3029812692</t>
  </si>
  <si>
    <t>25118999215000773715</t>
  </si>
  <si>
    <t>1132534519053944</t>
  </si>
  <si>
    <t xml:space="preserve">Y87530 </t>
  </si>
  <si>
    <t>871-9080524152</t>
  </si>
  <si>
    <t>25318871215000554718</t>
  </si>
  <si>
    <t>1132534529870172</t>
  </si>
  <si>
    <t xml:space="preserve">MU5360 </t>
  </si>
  <si>
    <t>781-2308187768</t>
  </si>
  <si>
    <t>5587915040</t>
  </si>
  <si>
    <t>1132534528564525</t>
  </si>
  <si>
    <t>2173865589</t>
  </si>
  <si>
    <t>胡润彬</t>
  </si>
  <si>
    <t xml:space="preserve">HU7734 </t>
  </si>
  <si>
    <t>880-9080529252</t>
  </si>
  <si>
    <t>25468880215000641286</t>
  </si>
  <si>
    <t>1132534551899849</t>
  </si>
  <si>
    <t xml:space="preserve">ZH4409 </t>
  </si>
  <si>
    <t>479-9083214011</t>
  </si>
  <si>
    <t>25958479215000764591</t>
  </si>
  <si>
    <t>1132534551090524</t>
  </si>
  <si>
    <t xml:space="preserve">MU5331 </t>
  </si>
  <si>
    <t>781-2308499846</t>
  </si>
  <si>
    <t>1133634066319196</t>
  </si>
  <si>
    <t xml:space="preserve">MU8432 </t>
  </si>
  <si>
    <t>781-9080659628</t>
  </si>
  <si>
    <t>25318781215001264743</t>
  </si>
  <si>
    <t>1132534557612944</t>
  </si>
  <si>
    <t>2704916813</t>
  </si>
  <si>
    <t>陈焕春</t>
  </si>
  <si>
    <t>880-9080634491</t>
  </si>
  <si>
    <t>25468880215000978713</t>
  </si>
  <si>
    <t>1132534560367066</t>
  </si>
  <si>
    <t>2173663818</t>
  </si>
  <si>
    <t>何宗蕊</t>
  </si>
  <si>
    <t xml:space="preserve">3U8702 </t>
  </si>
  <si>
    <t>876-2653409325</t>
  </si>
  <si>
    <t>25518876215000940333</t>
  </si>
  <si>
    <t>1133634073745116</t>
  </si>
  <si>
    <t>上海-北京</t>
  </si>
  <si>
    <t xml:space="preserve">MU5109 </t>
  </si>
  <si>
    <t>781-2305132499</t>
  </si>
  <si>
    <t>25318781115001649581</t>
  </si>
  <si>
    <t>1132534563967196</t>
  </si>
  <si>
    <t xml:space="preserve">HO1881 </t>
  </si>
  <si>
    <t>018-2338021765</t>
  </si>
  <si>
    <t>5587915042</t>
  </si>
  <si>
    <t>1132534563616366</t>
  </si>
  <si>
    <t xml:space="preserve">CA1314 </t>
  </si>
  <si>
    <t>999-2382704753</t>
  </si>
  <si>
    <t>5587915041</t>
  </si>
  <si>
    <t>1132534573423342</t>
  </si>
  <si>
    <t xml:space="preserve">CA1307 </t>
  </si>
  <si>
    <t>999-3028987740</t>
  </si>
  <si>
    <t>1132534565045473</t>
  </si>
  <si>
    <t>2173664481</t>
  </si>
  <si>
    <t>董徐佳文</t>
  </si>
  <si>
    <t xml:space="preserve">CZ3588 </t>
  </si>
  <si>
    <t>784-2242335640</t>
  </si>
  <si>
    <t>25448784110000094884</t>
  </si>
  <si>
    <t>1132534565012865</t>
  </si>
  <si>
    <t>2173664480</t>
  </si>
  <si>
    <t>张政</t>
  </si>
  <si>
    <t>784-2242336113</t>
  </si>
  <si>
    <t>25448784110000094883</t>
  </si>
  <si>
    <t>1132534565032074</t>
  </si>
  <si>
    <t>2173664439</t>
  </si>
  <si>
    <t>刘玮</t>
  </si>
  <si>
    <t>784-2242337352</t>
  </si>
  <si>
    <t>25448784110000094888</t>
  </si>
  <si>
    <t>1132534566128993</t>
  </si>
  <si>
    <t xml:space="preserve">MU5350 </t>
  </si>
  <si>
    <t>781-3029961090</t>
  </si>
  <si>
    <t>25318781215001409092</t>
  </si>
  <si>
    <t>1132534568332209</t>
  </si>
  <si>
    <t>2173664489</t>
  </si>
  <si>
    <t>马若丹</t>
  </si>
  <si>
    <t xml:space="preserve">MU8226 </t>
  </si>
  <si>
    <t>781-9080602255</t>
  </si>
  <si>
    <t>25318781215001101711</t>
  </si>
  <si>
    <t>1132534569532155</t>
  </si>
  <si>
    <t>2174043284</t>
  </si>
  <si>
    <t>吴欣雨</t>
  </si>
  <si>
    <t xml:space="preserve">HU7705 </t>
  </si>
  <si>
    <t>880-9080638018</t>
  </si>
  <si>
    <t>25468880215001114346</t>
  </si>
  <si>
    <t>1132534575415982</t>
  </si>
  <si>
    <t xml:space="preserve">CA1357 </t>
  </si>
  <si>
    <t>999-9080638892</t>
  </si>
  <si>
    <t>25118999215000965612</t>
  </si>
  <si>
    <t>1132534576386777</t>
  </si>
  <si>
    <t>2173667881</t>
  </si>
  <si>
    <t>王文韬</t>
  </si>
  <si>
    <t>880-9080607900</t>
  </si>
  <si>
    <t>1132534577802072</t>
  </si>
  <si>
    <t>2173663875</t>
  </si>
  <si>
    <t>刘剑</t>
  </si>
  <si>
    <t>880-2163187362</t>
  </si>
  <si>
    <t>5587632858</t>
  </si>
  <si>
    <t>1132534595185717</t>
  </si>
  <si>
    <t>2173663762</t>
  </si>
  <si>
    <t>韦翔</t>
  </si>
  <si>
    <t xml:space="preserve">HU7716 </t>
  </si>
  <si>
    <t>880-2163189527</t>
  </si>
  <si>
    <t>5587632861</t>
  </si>
  <si>
    <t>1132534578542034</t>
  </si>
  <si>
    <t>2173664460</t>
  </si>
  <si>
    <t>潘嘉芷</t>
  </si>
  <si>
    <t>880-2163204688</t>
  </si>
  <si>
    <t>5587632859</t>
  </si>
  <si>
    <t>1132534578567581</t>
  </si>
  <si>
    <t>2174014667</t>
  </si>
  <si>
    <t>成柳见</t>
  </si>
  <si>
    <t>880-2163205329</t>
  </si>
  <si>
    <t>5587632860</t>
  </si>
  <si>
    <t>1132534578919712</t>
  </si>
  <si>
    <t>999-2652579278</t>
  </si>
  <si>
    <t>1132534583628734</t>
  </si>
  <si>
    <t>2173663844</t>
  </si>
  <si>
    <t>刘群</t>
  </si>
  <si>
    <t>880-9080612104</t>
  </si>
  <si>
    <t>25468880215001241508</t>
  </si>
  <si>
    <t>1132534598136408</t>
  </si>
  <si>
    <t>880-9081040257</t>
  </si>
  <si>
    <t>25468880215001311517</t>
  </si>
  <si>
    <t>1132534599496608</t>
  </si>
  <si>
    <t>880-3029244877</t>
  </si>
  <si>
    <t>1132534600846482</t>
  </si>
  <si>
    <t>880-3029307025</t>
  </si>
  <si>
    <t>25468880215001311655</t>
  </si>
  <si>
    <t>1132534600978814</t>
  </si>
  <si>
    <t>880-2163289194</t>
  </si>
  <si>
    <t>5587632862</t>
  </si>
  <si>
    <t>1132534601340535</t>
  </si>
  <si>
    <t>880-2163293958</t>
  </si>
  <si>
    <t>5587632863</t>
  </si>
  <si>
    <t>1133634112607776</t>
  </si>
  <si>
    <t>2176866751</t>
  </si>
  <si>
    <t>林锦生</t>
  </si>
  <si>
    <t>深圳-杭州</t>
  </si>
  <si>
    <t xml:space="preserve">CZ8591 </t>
  </si>
  <si>
    <t>784-9081051753</t>
  </si>
  <si>
    <t>25448784215001052431</t>
  </si>
  <si>
    <t>1132534601166279</t>
  </si>
  <si>
    <t>2173663712</t>
  </si>
  <si>
    <t>黄阳林</t>
  </si>
  <si>
    <t xml:space="preserve">3U8889 </t>
  </si>
  <si>
    <t>876-2446630097</t>
  </si>
  <si>
    <t>5587915043</t>
  </si>
  <si>
    <t>1132534643997237</t>
  </si>
  <si>
    <t>880-2163346535</t>
  </si>
  <si>
    <t>5587632869</t>
  </si>
  <si>
    <t>1132534603572731</t>
  </si>
  <si>
    <t xml:space="preserve">HU7708 </t>
  </si>
  <si>
    <t>880-2163347156</t>
  </si>
  <si>
    <t>5587632865</t>
  </si>
  <si>
    <t>1132534603658438</t>
  </si>
  <si>
    <t>2173664022</t>
  </si>
  <si>
    <t>朱滢帆</t>
  </si>
  <si>
    <t xml:space="preserve">CA1305 </t>
  </si>
  <si>
    <t>999-9081240355</t>
  </si>
  <si>
    <t>25118999215001065046</t>
  </si>
  <si>
    <t>1133634115069126</t>
  </si>
  <si>
    <t>880-2652557510</t>
  </si>
  <si>
    <t>25468880215001297678</t>
  </si>
  <si>
    <t>1132534603339441</t>
  </si>
  <si>
    <t>880-2163363469</t>
  </si>
  <si>
    <t>5587632864</t>
  </si>
  <si>
    <t>1132534606119946</t>
  </si>
  <si>
    <t xml:space="preserve">HU7723 </t>
  </si>
  <si>
    <t>880-2652565145</t>
  </si>
  <si>
    <t>25468880215001328422</t>
  </si>
  <si>
    <t>1132534606433811</t>
  </si>
  <si>
    <t xml:space="preserve">ZH9885 </t>
  </si>
  <si>
    <t>479-4263389796</t>
  </si>
  <si>
    <t>5587632866</t>
  </si>
  <si>
    <t>1132534641821727</t>
  </si>
  <si>
    <t>2173663756</t>
  </si>
  <si>
    <t>蔡智豪</t>
  </si>
  <si>
    <t>876-2446665143</t>
  </si>
  <si>
    <t>5587632867</t>
  </si>
  <si>
    <t>1132534643666963</t>
  </si>
  <si>
    <t xml:space="preserve">ZH9948 </t>
  </si>
  <si>
    <t xml:space="preserve">ZH9950 </t>
  </si>
  <si>
    <t>479-2357770929</t>
  </si>
  <si>
    <t>5587632868</t>
  </si>
  <si>
    <t>1133634232263386</t>
  </si>
  <si>
    <t xml:space="preserve">3U8887 </t>
  </si>
  <si>
    <t>876-2446673965</t>
  </si>
  <si>
    <t>5587632875</t>
  </si>
  <si>
    <t>1133634237798496</t>
  </si>
  <si>
    <t>杭州-深圳</t>
  </si>
  <si>
    <t xml:space="preserve">GJ8900 </t>
  </si>
  <si>
    <t>891-8816461522</t>
  </si>
  <si>
    <t>5587632876</t>
  </si>
  <si>
    <t>1132534755938497</t>
  </si>
  <si>
    <t xml:space="preserve">9C8956 </t>
  </si>
  <si>
    <t>089-0442174230</t>
  </si>
  <si>
    <t>25318786114000060599</t>
  </si>
  <si>
    <t>1132534767919007</t>
  </si>
  <si>
    <t>北京-成都</t>
  </si>
  <si>
    <t xml:space="preserve">3U8882 </t>
  </si>
  <si>
    <t>876-9081621632</t>
  </si>
  <si>
    <t>25518876215001300013</t>
  </si>
  <si>
    <t>1132534767917255</t>
  </si>
  <si>
    <t>876-9081630886</t>
  </si>
  <si>
    <t>25518876215001300097</t>
  </si>
  <si>
    <t>1132534769776084</t>
  </si>
  <si>
    <t>880-2654045559</t>
  </si>
  <si>
    <t>25468880215001693780</t>
  </si>
  <si>
    <t>1132534767927409</t>
  </si>
  <si>
    <t>北京-上海</t>
  </si>
  <si>
    <t xml:space="preserve">HU7603 </t>
  </si>
  <si>
    <t>880-9081696268</t>
  </si>
  <si>
    <t>25468880215001488179</t>
  </si>
  <si>
    <t xml:space="preserve">HU7610 </t>
  </si>
  <si>
    <t>1132534769815746</t>
  </si>
  <si>
    <t>880-2163674590</t>
  </si>
  <si>
    <t>5587632870</t>
  </si>
  <si>
    <t>1132534769815874</t>
  </si>
  <si>
    <t xml:space="preserve">PN6311 </t>
  </si>
  <si>
    <t>847-2654049707</t>
  </si>
  <si>
    <t>25508847215001412310</t>
  </si>
  <si>
    <t>1132534780193335</t>
  </si>
  <si>
    <t xml:space="preserve">CA4108 </t>
  </si>
  <si>
    <t>999-2654067497</t>
  </si>
  <si>
    <t>25118999215001309848</t>
  </si>
  <si>
    <t>1132534781578808</t>
  </si>
  <si>
    <t xml:space="preserve">ZH9949 </t>
  </si>
  <si>
    <t>479-4263456812</t>
  </si>
  <si>
    <t>5587632872</t>
  </si>
  <si>
    <t>1132534779928622</t>
  </si>
  <si>
    <t>2174014723</t>
  </si>
  <si>
    <t>叶俊杰</t>
  </si>
  <si>
    <t>479-4263457111</t>
  </si>
  <si>
    <t>5587632871</t>
  </si>
  <si>
    <t>1132534781872538</t>
  </si>
  <si>
    <t>880-2163805055</t>
  </si>
  <si>
    <t>5587632873</t>
  </si>
  <si>
    <t>1133634296363216</t>
  </si>
  <si>
    <t>880-2163831165</t>
  </si>
  <si>
    <t>5587632877</t>
  </si>
  <si>
    <t>1133634300104246</t>
  </si>
  <si>
    <t>2173663816</t>
  </si>
  <si>
    <t>高尚</t>
  </si>
  <si>
    <t>合肥-太原</t>
  </si>
  <si>
    <t xml:space="preserve">HU7656 </t>
  </si>
  <si>
    <t>880-2163866378</t>
  </si>
  <si>
    <t>5587632878</t>
  </si>
  <si>
    <t>1132534796010798</t>
  </si>
  <si>
    <t>479-2357922103</t>
  </si>
  <si>
    <t>25958479115001415128</t>
  </si>
  <si>
    <t>1132534801782392</t>
  </si>
  <si>
    <t>479-4263478233</t>
  </si>
  <si>
    <t>5587632874</t>
  </si>
  <si>
    <t>订单状态</t>
  </si>
  <si>
    <t>入住人</t>
  </si>
  <si>
    <t>工作所在城市</t>
  </si>
  <si>
    <t>入住日期</t>
  </si>
  <si>
    <t>离店日期</t>
  </si>
  <si>
    <t>酒店城市</t>
  </si>
  <si>
    <t>酒店名称</t>
  </si>
  <si>
    <t>酒店英文名称</t>
  </si>
  <si>
    <t>房型</t>
  </si>
  <si>
    <t>单价</t>
  </si>
  <si>
    <t>房间数</t>
  </si>
  <si>
    <t>星级/钻级</t>
  </si>
  <si>
    <t>间夜</t>
  </si>
  <si>
    <t>手续费</t>
  </si>
  <si>
    <t>补充说明</t>
  </si>
  <si>
    <t>公费/自费</t>
  </si>
  <si>
    <t>是否双非</t>
  </si>
  <si>
    <t>成本中心</t>
  </si>
  <si>
    <t>成本中心2</t>
  </si>
  <si>
    <t>成本中心3</t>
  </si>
  <si>
    <t>部门1</t>
  </si>
  <si>
    <t>部门2</t>
  </si>
  <si>
    <t>部门3</t>
  </si>
  <si>
    <t>关联行程号</t>
  </si>
  <si>
    <t>酒店类型</t>
  </si>
  <si>
    <t>后收商旅管理服务费</t>
  </si>
  <si>
    <t>实收实付</t>
  </si>
  <si>
    <t>返利</t>
  </si>
  <si>
    <t>1132533764758089</t>
  </si>
  <si>
    <t>已取消</t>
  </si>
  <si>
    <t>2173663706</t>
  </si>
  <si>
    <t>包金红</t>
  </si>
  <si>
    <t>石家庄</t>
  </si>
  <si>
    <t>如家酒店(石家庄火车站西广场中华南大街店)</t>
  </si>
  <si>
    <t>Home Inn (Zhonghua South Avenue, West Square of Shijiazhuang Railway Station)</t>
  </si>
  <si>
    <t>商务大床房</t>
  </si>
  <si>
    <t>2钻</t>
  </si>
  <si>
    <t>公费</t>
  </si>
  <si>
    <t>否</t>
  </si>
  <si>
    <t>TRC130996157317918793@2001_01</t>
  </si>
  <si>
    <t>1132533764946515</t>
  </si>
  <si>
    <t>已成交</t>
  </si>
  <si>
    <t>1132533765010137</t>
  </si>
  <si>
    <t>2173664476</t>
  </si>
  <si>
    <t>刘文涛</t>
  </si>
  <si>
    <t>沈阳</t>
  </si>
  <si>
    <t>汉庭优佳酒店(沈阳站太原街地铁站店)</t>
  </si>
  <si>
    <t>Hanting Youjia Hotel (Shenyang Taiyuan street subway station store)</t>
  </si>
  <si>
    <t>双床房</t>
  </si>
  <si>
    <t>TRC131443667670938676@2001_01</t>
  </si>
  <si>
    <t>1132533774091768</t>
  </si>
  <si>
    <t>北京</t>
  </si>
  <si>
    <t>桔子酒店(北京王府井店)</t>
  </si>
  <si>
    <t>Orange Hotel (Beijing Wangfujing Union Hospital)</t>
  </si>
  <si>
    <t>森林狂欢大床房</t>
  </si>
  <si>
    <t>3钻</t>
  </si>
  <si>
    <t>1132533774190721</t>
  </si>
  <si>
    <t>双床房A</t>
  </si>
  <si>
    <t>TRC131539101343035486@2001_01</t>
  </si>
  <si>
    <t>1132533783033016</t>
  </si>
  <si>
    <t>成都</t>
  </si>
  <si>
    <t>全季酒店(成都青白江凤凰湖店)</t>
  </si>
  <si>
    <t>ALL season Chengdu Qingbai River Butterfly Island Hotel</t>
  </si>
  <si>
    <t>高级大床房</t>
  </si>
  <si>
    <t>TRC131640244767306806@2001_01</t>
  </si>
  <si>
    <t>1132533809787469</t>
  </si>
  <si>
    <t>长春</t>
  </si>
  <si>
    <t>白玉兰酒店(长春吉林大学前进大街店)</t>
  </si>
  <si>
    <t>Magnolia Hotel (Changchun Jilin University Qianjin Street)</t>
  </si>
  <si>
    <t>静雅大床房</t>
  </si>
  <si>
    <t>TRC131680620943258694@2001_01</t>
  </si>
  <si>
    <t>1132533810341825</t>
  </si>
  <si>
    <t>大床房</t>
  </si>
  <si>
    <t>TRC132240198181335112@2001_01</t>
  </si>
  <si>
    <t>1132533810724843</t>
  </si>
  <si>
    <t>TRC132420075423544417@2001_01</t>
  </si>
  <si>
    <t>1132533847454507</t>
  </si>
  <si>
    <t>临沂</t>
  </si>
  <si>
    <t>如家精选酒店(临沂五洲湖大剧院店)</t>
  </si>
  <si>
    <t>Home Inn(Linyi Wuzhou Lake Grand Theater)</t>
  </si>
  <si>
    <t>高级大床房（地暖开放）</t>
  </si>
  <si>
    <t>TRC132760426057315401@2001_01</t>
  </si>
  <si>
    <t>1132533856317378</t>
  </si>
  <si>
    <t>1132533910789044</t>
  </si>
  <si>
    <t>深圳</t>
  </si>
  <si>
    <t>全季酒店(深圳南山科技园长园酒店)</t>
  </si>
  <si>
    <t>Ji Hotel (Shenzhen Nanshan Science and Technology Park Changyuan Hotel)</t>
  </si>
  <si>
    <t>1132533911020207</t>
  </si>
  <si>
    <t>2173663766</t>
  </si>
  <si>
    <t>仝乐</t>
  </si>
  <si>
    <t>郑州</t>
  </si>
  <si>
    <t>丽呈文览酒店(郑州东站绿地双子塔店)</t>
  </si>
  <si>
    <t>Licheng Wenlan Hotel (Zhengzhou East Station Green Twin Towers Store)</t>
  </si>
  <si>
    <t>文人•双床房</t>
  </si>
  <si>
    <t>4钻</t>
  </si>
  <si>
    <t>TRC133264481150054423@2001_01</t>
  </si>
  <si>
    <t>1132533911174681</t>
  </si>
  <si>
    <t>武汉</t>
  </si>
  <si>
    <t>你好酒店(武汉白沙洲龙湖天街店)</t>
  </si>
  <si>
    <t>Hello Hotel (Wuhan Baishazhou Longhu Tianjie Branch)</t>
  </si>
  <si>
    <t>高级双床房</t>
  </si>
  <si>
    <t>TRC132941559657148462@2001_01</t>
  </si>
  <si>
    <t>1132533911538391</t>
  </si>
  <si>
    <t>TRC133351469328904286@2001_01</t>
  </si>
  <si>
    <t>1132533919969293</t>
  </si>
  <si>
    <t>TRC133445296110711872@2001_01</t>
  </si>
  <si>
    <t>1132533920451985</t>
  </si>
  <si>
    <t>1132533929288254</t>
  </si>
  <si>
    <t>维也纳酒店(河南博物院国贸360店)</t>
  </si>
  <si>
    <t>Vienna Hotel (Henan Museum International Trade 360)</t>
  </si>
  <si>
    <t>豪华双床房</t>
  </si>
  <si>
    <t>1132533929782930</t>
  </si>
  <si>
    <t>1132533938603371</t>
  </si>
  <si>
    <t>TRC133699578674294833@2001_01</t>
  </si>
  <si>
    <t>1132533948512159</t>
  </si>
  <si>
    <t>1132533948878812</t>
  </si>
  <si>
    <t>桔子水晶北京朝阳门酒店</t>
  </si>
  <si>
    <t>Crystal Orange Hotel Beijing Chaoyangmen</t>
  </si>
  <si>
    <t>大床房（智能客控+深睡枕+小冰箱）</t>
  </si>
  <si>
    <t>TRC134240891582820397@2001_01</t>
  </si>
  <si>
    <t>1132533949044252</t>
  </si>
  <si>
    <t>TRC134331521763913808@2001_01</t>
  </si>
  <si>
    <t>1132533959785397</t>
  </si>
  <si>
    <t>1132534013837062</t>
  </si>
  <si>
    <t>全季酒店(北京三里屯工体东门店)</t>
  </si>
  <si>
    <t>Ji Hotel (Beijing Sanlitun Workers' Stadium East Gate)</t>
  </si>
  <si>
    <t>1132534022869808</t>
  </si>
  <si>
    <t>1132534032272855</t>
  </si>
  <si>
    <t>全季酒店(郑州东站东广场店)</t>
  </si>
  <si>
    <t>JI Hotel</t>
  </si>
  <si>
    <t>大床房(智能客控)</t>
  </si>
  <si>
    <t>1132534038741385</t>
  </si>
  <si>
    <t>厦门</t>
  </si>
  <si>
    <t>厦门明发国际大酒店(会展中心环岛路店)</t>
  </si>
  <si>
    <t>Xiamen Mingfa International Hotel (Convention Center Huandao Road Branch)</t>
  </si>
  <si>
    <t>豪华大床房（浴缸+零压床垫）</t>
  </si>
  <si>
    <t>5钻</t>
  </si>
  <si>
    <t>1132534077790601</t>
  </si>
  <si>
    <t>汉庭酒店(北京传媒大学褡裢坡地铁站店)</t>
  </si>
  <si>
    <t>Hanting Hotel (Beijing Dalianpo Subway Station Store)</t>
  </si>
  <si>
    <t>TRC134595183491690537@2001_01</t>
  </si>
  <si>
    <t>1132534087239333</t>
  </si>
  <si>
    <t>肥西</t>
  </si>
  <si>
    <t>全季酒店(合肥经开区大学城)</t>
  </si>
  <si>
    <t>Ji Hotel (Hefei Economic Development Zone University Town)</t>
  </si>
  <si>
    <t>1132534087332169</t>
  </si>
  <si>
    <t>TRC135627263541522496@2001_01</t>
  </si>
  <si>
    <t>1132534087335712</t>
  </si>
  <si>
    <t>2173663840</t>
  </si>
  <si>
    <t>王朝阳</t>
  </si>
  <si>
    <t>济南</t>
  </si>
  <si>
    <t>凯里亚德酒店(济南趵突泉泉城广场店)</t>
  </si>
  <si>
    <t>Kyriad Hotel (Jinan Baotu Quancheng Plaza)</t>
  </si>
  <si>
    <t>乐享双床房</t>
  </si>
  <si>
    <t>TRC135470941091148842@2001_01</t>
  </si>
  <si>
    <t>1132534098241204</t>
  </si>
  <si>
    <t>TRC135604481367748674@2001_01</t>
  </si>
  <si>
    <t>1132534187626651</t>
  </si>
  <si>
    <t>君橙酒店(肥西华南城铜锣寨路地铁站店)</t>
  </si>
  <si>
    <t>Jun Orange Hotel (Feixi South City Tongluozhai Subway Station Branch)</t>
  </si>
  <si>
    <t>君橙·悦享双床房 | 干湿分离+喜临门床垫+高压淋浴</t>
  </si>
  <si>
    <t>TRC131080970578179151@2001_01</t>
  </si>
  <si>
    <t>1132534188334534</t>
  </si>
  <si>
    <t>秋果酒店(武汉光谷虎泉杨家湾地铁站店)</t>
  </si>
  <si>
    <t>True go Hotel (Wuhan Optics Valley Huquan Yangjiawan Metro Station)</t>
  </si>
  <si>
    <t>明星大床房+恒温水暖+除霾空气净化器+MINI小冰箱+小度语音智控</t>
  </si>
  <si>
    <t>TRC130772658768852052@2001_01</t>
  </si>
  <si>
    <t>1132534189568257</t>
  </si>
  <si>
    <t>西安</t>
  </si>
  <si>
    <t>全季酒店(西安南稍门省体育场)</t>
  </si>
  <si>
    <t>JiHotel</t>
  </si>
  <si>
    <t>TRC130376462577446924@2001_01</t>
  </si>
  <si>
    <t>1132534189624515</t>
  </si>
  <si>
    <t>宜尚酒店(沈阳北站地铁站店)</t>
  </si>
  <si>
    <t>Echarm Hotel (Shenyang North Railway Station Subway Station)</t>
  </si>
  <si>
    <t>智能大床房（北欧风+安静舒适）</t>
  </si>
  <si>
    <t>TRC131308202303173691@2001_01</t>
  </si>
  <si>
    <t>1132534190237395</t>
  </si>
  <si>
    <t>商务双床房</t>
  </si>
  <si>
    <t>TRC131455964621582414@2001_01</t>
  </si>
  <si>
    <t>1132534190428507</t>
  </si>
  <si>
    <t>2192928972</t>
  </si>
  <si>
    <t>李继成</t>
  </si>
  <si>
    <t>TRC131452610629612583@2001_01</t>
  </si>
  <si>
    <t>1132534190432054</t>
  </si>
  <si>
    <t>全季酒店(长春东方广场酒店)</t>
  </si>
  <si>
    <t>Ji Hotel (Changchun Dongfang Square)</t>
  </si>
  <si>
    <t>TRC130969598158712861@2001_01</t>
  </si>
  <si>
    <t>1132534191875609</t>
  </si>
  <si>
    <t>君亭·私享榻榻米房 | 榻榻米超大床+休闲茶塌+干湿分离</t>
  </si>
  <si>
    <t>TRC131145092055446623@2001_01</t>
  </si>
  <si>
    <t>1132534191884543</t>
  </si>
  <si>
    <t>君亭·温馨家庭套房 | 超级大床+婚房定制+干湿分离</t>
  </si>
  <si>
    <t>1132534192957817</t>
  </si>
  <si>
    <t>童趣精选大床房</t>
  </si>
  <si>
    <t>1132534195744063</t>
  </si>
  <si>
    <t>2173663861</t>
  </si>
  <si>
    <t>叶胡兵</t>
  </si>
  <si>
    <t>杭州</t>
  </si>
  <si>
    <t>全季酒店(杭州西湖龙翔桥地铁站店)</t>
  </si>
  <si>
    <t>Ji Hotel (Hangzhou West Lake Longxiang Bridge Metro Station)</t>
  </si>
  <si>
    <t>TRC131519335446361174@2001_01</t>
  </si>
  <si>
    <t>1132534198987929</t>
  </si>
  <si>
    <t>禾尖S酒店(深圳科技园店)</t>
  </si>
  <si>
    <t>Apex &amp; Hotel (Shenzhen Science and Technology Park)</t>
  </si>
  <si>
    <t>荷蜓大床房</t>
  </si>
  <si>
    <t>1132534199425469</t>
  </si>
  <si>
    <t>TRC131632752171693106@2001_01</t>
  </si>
  <si>
    <t>1132534199559187</t>
  </si>
  <si>
    <t>重庆</t>
  </si>
  <si>
    <t>全季酒店(重庆金源时代购物中心店)</t>
  </si>
  <si>
    <t>QUAN JI Hotel (Chongqing Jinyuan Times Shopping Center)</t>
  </si>
  <si>
    <t>TRC131640244767306805@2001_01</t>
  </si>
  <si>
    <t>1132534200582022</t>
  </si>
  <si>
    <t>王良虎,喻千里,曾勇军,鲍春健</t>
  </si>
  <si>
    <t>厦门海景洲际酒店</t>
  </si>
  <si>
    <t>InterContinental Xiamen</t>
  </si>
  <si>
    <t>豪华双床房（观鹭岛城市风情）</t>
  </si>
  <si>
    <t>1132534200594973</t>
  </si>
  <si>
    <t>樊晓星</t>
  </si>
  <si>
    <t>尊享海景大床房（180°海上日出）</t>
  </si>
  <si>
    <t>1132534201120921</t>
  </si>
  <si>
    <t>君橙·悦享大床房|智能语音+乳胶床垫+新风系统</t>
  </si>
  <si>
    <t>TRC131474997047734311@2001_01</t>
  </si>
  <si>
    <t>1132534201246794</t>
  </si>
  <si>
    <t>君美·尊享商务大床房|智能客房+喜临门床垫+高压淋浴</t>
  </si>
  <si>
    <t>TRC131660176542412816@2001_01</t>
  </si>
  <si>
    <t>1132534201260759</t>
  </si>
  <si>
    <t>汉庭酒店(长春洋浦大街店)</t>
  </si>
  <si>
    <t>Hanting Hotel (Changchun Yangpu Street)</t>
  </si>
  <si>
    <t>1132534201339003</t>
  </si>
  <si>
    <t>TRC131509816003671074@2001_01</t>
  </si>
  <si>
    <t>1132534209432032</t>
  </si>
  <si>
    <t>2173663717</t>
  </si>
  <si>
    <t>于腾飞</t>
  </si>
  <si>
    <t>尚途酒店(长春大街活力城店)</t>
  </si>
  <si>
    <t>Shangtu Hotel (Changchun Street Vigor City)</t>
  </si>
  <si>
    <t>尚怡家庭房【智能客控】</t>
  </si>
  <si>
    <t>TRC131481080734691383@2001_01</t>
  </si>
  <si>
    <t>1132534210907024</t>
  </si>
  <si>
    <t>TRC130550186253496333@2001_01</t>
  </si>
  <si>
    <t>1132534211155333</t>
  </si>
  <si>
    <t>1132534211292993</t>
  </si>
  <si>
    <t>TRC131815049625874466@2001_01</t>
  </si>
  <si>
    <t>1132534212110691</t>
  </si>
  <si>
    <t>2173663675</t>
  </si>
  <si>
    <t>李文龙</t>
  </si>
  <si>
    <t>云与白马设计师酒店(沈阳站太原街店)</t>
  </si>
  <si>
    <t>Yun and Baima Designer B&amp;B (Shenyang Station Taiyuan Street Branch)</t>
  </si>
  <si>
    <t>CAH设计师|超大床房【极米会员影音+智能客控+金可儿床垫+无线互联投屏+定制款PRO深睡双芯枕】</t>
  </si>
  <si>
    <t>TRC131090744157942798@2001_01</t>
  </si>
  <si>
    <t>1132534240702559</t>
  </si>
  <si>
    <t>1132534252878578</t>
  </si>
  <si>
    <t>全季酒店(成都火车东站奥园广场店)</t>
  </si>
  <si>
    <t>All season hotel (Olympic Park Plaza store of Chengdu East Railway Station)</t>
  </si>
  <si>
    <t>TRC132179500803829824@2001_01</t>
  </si>
  <si>
    <t>1132534253896422</t>
  </si>
  <si>
    <t>汉庭酒店(郑州郑东新区中州大道店)</t>
  </si>
  <si>
    <t>Hanting Hotel (Zhengzhou Zhongzhou Avenue)</t>
  </si>
  <si>
    <t>TRC131686185635427386@2001_01</t>
  </si>
  <si>
    <t>1132534254240294</t>
  </si>
  <si>
    <t>定州</t>
  </si>
  <si>
    <t>全季酒店(定州火车站店)</t>
  </si>
  <si>
    <t>All Seasons Hotel (Dingzhou Railway Station Branch)</t>
  </si>
  <si>
    <t>TRC132237504127447132@2001_01</t>
  </si>
  <si>
    <t>1132534257605854</t>
  </si>
  <si>
    <t>全季酒店(北京立水桥南地铁站店)</t>
  </si>
  <si>
    <t>All Seasons Hotel(Beijing Lishuiqiao South Subway Branch)</t>
  </si>
  <si>
    <t>TRC132182051603362820@2001_01</t>
  </si>
  <si>
    <t>1132534258102609</t>
  </si>
  <si>
    <t>TRC132182717769987075@2001_01</t>
  </si>
  <si>
    <t>1132534261573752</t>
  </si>
  <si>
    <t>1132534277872085</t>
  </si>
  <si>
    <t>南昌</t>
  </si>
  <si>
    <t>汉庭酒店(南昌西站国博地铁站店)</t>
  </si>
  <si>
    <t>Hanting Hotel (Nanchang West Railway Station Guobo Subway Station)</t>
  </si>
  <si>
    <t>TRC132200475649913861@2001_01</t>
  </si>
  <si>
    <t>1132534283787514</t>
  </si>
  <si>
    <t>TRC132453828566986800@2001_01</t>
  </si>
  <si>
    <t>1132534284131278</t>
  </si>
  <si>
    <t>TRC132563390320096327@2001_01</t>
  </si>
  <si>
    <t>1132534321814145</t>
  </si>
  <si>
    <t>桔子酒店(北京第二外国语学院褡裢坡店)</t>
  </si>
  <si>
    <t>Juzi Beijing Second Foreign Language University Dalianpo  Hotel</t>
  </si>
  <si>
    <t>TRC132470446380560454@2001_01</t>
  </si>
  <si>
    <t>1132534325820307</t>
  </si>
  <si>
    <t>南昌国际博览城绿地铂瑞酒店</t>
  </si>
  <si>
    <t>Primus Hotel Nanchang International Expo City</t>
  </si>
  <si>
    <t>高级城景大床房</t>
  </si>
  <si>
    <t>1132534335277732</t>
  </si>
  <si>
    <t>大床房A</t>
  </si>
  <si>
    <t>1132534381159529</t>
  </si>
  <si>
    <t>漫鹿CC酒店(郑州东站华润时代广场店)</t>
  </si>
  <si>
    <t>Manlu CC Hotel (Zhengzhou East Railway Station China Resources Times Square Branch)</t>
  </si>
  <si>
    <t>漫妙轻致大床房【巨幕投影+全网VIP】</t>
  </si>
  <si>
    <t>TRC132956077764390927@2001_01</t>
  </si>
  <si>
    <t>1132534387708739</t>
  </si>
  <si>
    <t>TRC133296599802589219@2001_01</t>
  </si>
  <si>
    <t>1132534394549356</t>
  </si>
  <si>
    <t>漫妙轻致双床房【宽敞空间+巨幕投影】</t>
  </si>
  <si>
    <t>1132534403264797</t>
  </si>
  <si>
    <t>郑州凯理德酒店(CBD会展中心店)</t>
  </si>
  <si>
    <t>Zhengzhou Kaili De Hotel</t>
  </si>
  <si>
    <t>TRC133292972608336913@2001_01</t>
  </si>
  <si>
    <t>1132534404599632</t>
  </si>
  <si>
    <t>全季酒店(深圳北站地铁站店)</t>
  </si>
  <si>
    <t>All Seasons Hotel (Shenzhen North Subway Station)</t>
  </si>
  <si>
    <t>1132534407202396</t>
  </si>
  <si>
    <t>TRC132179823008166962@2001_01</t>
  </si>
  <si>
    <t>1132534407650802</t>
  </si>
  <si>
    <t>1132534407890607</t>
  </si>
  <si>
    <t>1132534407931214</t>
  </si>
  <si>
    <t>岸希酒店(石家庄中储广场市庄地铁站店)</t>
  </si>
  <si>
    <t>Xana Hotelle (Shijiazhuang Zhonghua North Street)</t>
  </si>
  <si>
    <t>TRC133506943019922436@2001_01</t>
  </si>
  <si>
    <t>1132534408181436</t>
  </si>
  <si>
    <t>陌上轻雅酒店(石家庄火车站新百广场店)</t>
  </si>
  <si>
    <t>Moshang Qingya Hotel (Shijiazhuang Railway Station Zhonghua South Street Branch)</t>
  </si>
  <si>
    <t>品学双床房【大大落地窗+全屋智能+零压床垫】</t>
  </si>
  <si>
    <t>TRC133675335242757203@2001_01</t>
  </si>
  <si>
    <t>1132534410685419</t>
  </si>
  <si>
    <t>1132534413370069</t>
  </si>
  <si>
    <t>商水</t>
  </si>
  <si>
    <t>商水摩根国际酒店</t>
  </si>
  <si>
    <t>Shangshui Morgan International Hotel</t>
  </si>
  <si>
    <t>豪华双人间</t>
  </si>
  <si>
    <t>TRC133830309306183714@2001_01</t>
  </si>
  <si>
    <t>1132534420724514</t>
  </si>
  <si>
    <t>广州</t>
  </si>
  <si>
    <t>如家商旅酒店(广州天河龙洞植物园地铁站店)</t>
  </si>
  <si>
    <t>Home Inn Selected (Guangzhou Tianhe Longdong Botanical Garden Metro Station)</t>
  </si>
  <si>
    <t>景观大床房</t>
  </si>
  <si>
    <t>TRC133895314347143261@2001_01</t>
  </si>
  <si>
    <t>1132534423156366</t>
  </si>
  <si>
    <t>1132534423191066</t>
  </si>
  <si>
    <t>TRC133987298510386178@2001_01</t>
  </si>
  <si>
    <t>1132534458897019</t>
  </si>
  <si>
    <t>TRC133830136286950488@2001_01</t>
  </si>
  <si>
    <t>1132534493967462</t>
  </si>
  <si>
    <t>天津</t>
  </si>
  <si>
    <t>喆啡酒店(天津西站人民医院地铁站店)</t>
  </si>
  <si>
    <t>James Joyce Coffetel (Tianjin West Railway Station Renmin Hospital Metro Station)</t>
  </si>
  <si>
    <t>醇享生活房（手机智能投屏）</t>
  </si>
  <si>
    <t>TRC134558297448525837@2001_01</t>
  </si>
  <si>
    <t>1132534494658341</t>
  </si>
  <si>
    <t>TRC134550895592485901@2001_01</t>
  </si>
  <si>
    <t>1132534495405506</t>
  </si>
  <si>
    <t>秋果S酒店(宽窄巷子奎星楼美食街店)</t>
  </si>
  <si>
    <t>True Go  S Hotel (Kuixinglou Food Street, Kuanzhai Alley)</t>
  </si>
  <si>
    <t>静谧.乐享大床房(电视投屏+智能客控+新风系统＋朝南)</t>
  </si>
  <si>
    <t>TRC134209713804948575@2001_01</t>
  </si>
  <si>
    <t>1132534499513908</t>
  </si>
  <si>
    <t>晋中</t>
  </si>
  <si>
    <t>恬觅酒店(晋中榆次区迎宾西街店)</t>
  </si>
  <si>
    <t>Tian Mi Hotel</t>
  </si>
  <si>
    <t>恬心大床房（可投屏1080P电视+智能语音小度+零压深睡床垫）</t>
  </si>
  <si>
    <t>TRC134403189653909593@2001_01</t>
  </si>
  <si>
    <t>1132534506528172</t>
  </si>
  <si>
    <t>TRC134767256522469391@2001_01</t>
  </si>
  <si>
    <t>1132534506729423</t>
  </si>
  <si>
    <t>TRC134580808596861984@2001_01</t>
  </si>
  <si>
    <t>1132534506737632</t>
  </si>
  <si>
    <t>家庭房</t>
  </si>
  <si>
    <t>TRC134582385827131428@2001_01</t>
  </si>
  <si>
    <t>1132534506808613</t>
  </si>
  <si>
    <t>TRC134594105933050968@2001_01</t>
  </si>
  <si>
    <t>1132534525077845</t>
  </si>
  <si>
    <t>太原</t>
  </si>
  <si>
    <t>如家商旅酒店(太原长治路世贸中心店)</t>
  </si>
  <si>
    <t>Home Inn Business Travel Hotel</t>
  </si>
  <si>
    <t>商务大床房（可投屏电视）</t>
  </si>
  <si>
    <t>TRC134403189653909594@2001_01</t>
  </si>
  <si>
    <t>1132534527849833</t>
  </si>
  <si>
    <t>仟那旅途酒店(郑州东站绿地双子塔店)</t>
  </si>
  <si>
    <t>Qianna Travel Hotel</t>
  </si>
  <si>
    <t>竹溪大床房（落地大窗+城市观景+超大全身镜）</t>
  </si>
  <si>
    <t>TRC134527897684685895@2001_01</t>
  </si>
  <si>
    <t>1132534531074828</t>
  </si>
  <si>
    <t>1132534531082099</t>
  </si>
  <si>
    <t>1132534585428681</t>
  </si>
  <si>
    <t>秋果酒店X(北京央视华贸店)</t>
  </si>
  <si>
    <t>Qiuguo Hotel X (Beijing CCTV Huamao)</t>
  </si>
  <si>
    <t>精选高级大床房（智能客控+手机投屏）</t>
  </si>
  <si>
    <t>TRC134209713804948576@2001_01</t>
  </si>
  <si>
    <t>1132534607633716</t>
  </si>
  <si>
    <t>TRC135241939453752387@2001_01</t>
  </si>
  <si>
    <t>1132534634315178</t>
  </si>
  <si>
    <t>2173663690</t>
  </si>
  <si>
    <t>慕志毅</t>
  </si>
  <si>
    <t>桔子酒店(西安北二环文景路店)</t>
  </si>
  <si>
    <t>TRC135625261449228312@2001_01</t>
  </si>
  <si>
    <t>1132534635172289</t>
  </si>
  <si>
    <t>城上·轻居酒店(成都东站四川师范大学店)</t>
  </si>
  <si>
    <t>Chengshang Qingju Hotel (Chengdu East Railway Station Sichuan Normal University)</t>
  </si>
  <si>
    <t>豪华大床房【全屋智能+商旅甄选】</t>
  </si>
  <si>
    <t>TRC135511099639345177@2001_01</t>
  </si>
  <si>
    <t>1132534637543176</t>
  </si>
  <si>
    <t>TRC135630625458631755@2001_01</t>
  </si>
  <si>
    <t>1132534638817413</t>
  </si>
  <si>
    <t>康铂酒店(北京房山良乡大学城北地铁站店)</t>
  </si>
  <si>
    <t>Campanile Hotel</t>
  </si>
  <si>
    <t>豪华大床房（智能客控+手机投屏+智能马桶+落地窗）</t>
  </si>
  <si>
    <t>TRC135644839225078872@2001_01</t>
  </si>
  <si>
    <t>1132534656238947</t>
  </si>
  <si>
    <t>德阳</t>
  </si>
  <si>
    <t>德阳季尔顿酒店</t>
  </si>
  <si>
    <t>零压-舒适大床房</t>
  </si>
  <si>
    <t>TRC135511099639345178@2001_01</t>
  </si>
  <si>
    <t>1132534665695298</t>
  </si>
  <si>
    <t>TRC135511099639345179@2001_01</t>
  </si>
  <si>
    <t>1133633711428206</t>
  </si>
  <si>
    <t>1133633764574226</t>
  </si>
  <si>
    <t>1133633838538566</t>
  </si>
  <si>
    <t>TRC132916192145847310@2001_01</t>
  </si>
  <si>
    <t>1133633899094946</t>
  </si>
  <si>
    <t>1133633909947856</t>
  </si>
  <si>
    <t>1133633934328676</t>
  </si>
  <si>
    <t>TRC133787087922017312@2001_01</t>
  </si>
  <si>
    <t>1133634015321036</t>
  </si>
  <si>
    <t>酥山困困酒店(杭州省儿童医院滨江院区建业路地铁站店)</t>
  </si>
  <si>
    <t>麻薯大床房【瓶装水+恒温马桶+全景落地玻璃窗+中央空调+高空城景】</t>
  </si>
  <si>
    <t>TRC134759235293557856@2001_01</t>
  </si>
  <si>
    <t>1133634091875696</t>
  </si>
  <si>
    <t>缘宿·SMAX设计师潮牌酒店(太原亲贤北街茂业天地店)</t>
  </si>
  <si>
    <t>yuansu</t>
  </si>
  <si>
    <t>马天尼丨AI智能·Vip影视会员·可投屏·智能马桶</t>
  </si>
  <si>
    <t>1133634176499906</t>
  </si>
  <si>
    <t>南昌县</t>
  </si>
  <si>
    <t>全季酒店(南昌千亿产业园复兴大桥店)</t>
  </si>
  <si>
    <t>All Seasons Hotel (Nanchang Qianyi Industrial Park Fuxing Bridge Branch)</t>
  </si>
  <si>
    <t>TRC136012692191196202@2001_01</t>
  </si>
  <si>
    <t>订单类型</t>
  </si>
  <si>
    <t>出发日期</t>
  </si>
  <si>
    <t>服务内容</t>
  </si>
  <si>
    <t>乘客姓名</t>
  </si>
  <si>
    <t>数量</t>
  </si>
  <si>
    <t>卖价</t>
  </si>
  <si>
    <t>快递费</t>
  </si>
  <si>
    <t>增值费用</t>
  </si>
  <si>
    <t>违约金</t>
  </si>
  <si>
    <t>结算方式</t>
  </si>
  <si>
    <t>已收票（已服务）时间</t>
  </si>
  <si>
    <t>联系人姓名</t>
  </si>
  <si>
    <t>自定义字段1</t>
  </si>
  <si>
    <t>自定义字段2</t>
  </si>
  <si>
    <t>部门 1</t>
  </si>
  <si>
    <t>部门 2</t>
  </si>
  <si>
    <t>部门 3</t>
  </si>
  <si>
    <t>部门 4</t>
  </si>
  <si>
    <t>部门 5</t>
  </si>
  <si>
    <t>工作城市</t>
  </si>
  <si>
    <t>持卡人员工编号</t>
  </si>
  <si>
    <t>用车基础费</t>
  </si>
  <si>
    <t>用车增值费用明细</t>
  </si>
  <si>
    <t>1132533938862001</t>
  </si>
  <si>
    <t>国内接送</t>
  </si>
  <si>
    <t>厦门 厦门站 至 厦门 领事馆路19号 + 2024-12-30 13:10</t>
  </si>
  <si>
    <t>樊晓星、鲍春健、王良虎、曾勇军、喻千里</t>
  </si>
  <si>
    <t>中心负责人</t>
  </si>
  <si>
    <t>公司账户</t>
  </si>
  <si>
    <t>用车费:114.00;优惠券抵扣金额:-50.00;</t>
  </si>
  <si>
    <t>1132533949191168</t>
  </si>
  <si>
    <t>厦门 领事馆路19号 至 厦门 厦门站 + 2024-12-31 07:50</t>
  </si>
  <si>
    <t>鲍春健、樊晓星、王良虎、曾勇军、喻千里</t>
  </si>
  <si>
    <t>用车费:124.00;优惠券抵扣金额:-50.00;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</si>
</sst>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_ ;_ * \-#,##0.00_ ;_ * &quot; - &quot;??_ ;_ @_ "/>
    <numFmt numFmtId="177" formatCode="yyyy/m/d\ hh:mm:ss"/>
    <numFmt numFmtId="178" formatCode="yyyy&quot;年&quot;m&quot;月&quot;d&quot;日&quot;;@"/>
  </numFmts>
  <fonts count="28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b/>
      <sz val="10"/>
      <name val="Arial"/>
      <charset val="134"/>
    </font>
    <font>
      <sz val="10"/>
      <color indexed="20"/>
      <name val="Arial"/>
      <charset val="134"/>
    </font>
    <font>
      <sz val="12"/>
      <name val="Microsoft YaHei"/>
      <charset val="134"/>
    </font>
    <font>
      <sz val="12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right" vertical="center"/>
    </xf>
    <xf numFmtId="176" fontId="5" fillId="3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49" fontId="6" fillId="5" borderId="1" xfId="0" applyNumberFormat="1" applyFont="1" applyFill="1" applyBorder="1" applyAlignment="1">
      <alignment horizontal="left" vertical="center"/>
    </xf>
    <xf numFmtId="176" fontId="7" fillId="6" borderId="1" xfId="0" applyNumberFormat="1" applyFont="1" applyFill="1" applyBorder="1" applyAlignment="1">
      <alignment horizontal="right" vertical="center"/>
    </xf>
    <xf numFmtId="49" fontId="6" fillId="7" borderId="1" xfId="0" applyNumberFormat="1" applyFont="1" applyFill="1" applyBorder="1" applyAlignment="1">
      <alignment horizontal="left" vertical="center"/>
    </xf>
    <xf numFmtId="176" fontId="7" fillId="7" borderId="1" xfId="0" applyNumberFormat="1" applyFont="1" applyFill="1" applyBorder="1" applyAlignment="1">
      <alignment horizontal="right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 wrapText="1"/>
    </xf>
    <xf numFmtId="176" fontId="7" fillId="8" borderId="1" xfId="0" applyNumberFormat="1" applyFont="1" applyFill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xiaoe\AppData\Local\Temp\MicrosoftEdgeDownloads\50b5d9da-c672-45e2-8ae8-1e67a4339aab\2025&#24180;1&#26376;&#23588;&#20848;&#36798;&#30340;&#33457;&#21517;&#208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501入账"/>
      <sheetName val="透视"/>
      <sheetName val="#会计核算规则20250113"/>
      <sheetName val="202501原表"/>
    </sheetNames>
    <sheetDataSet>
      <sheetData sheetId="0">
        <row r="1">
          <cell r="A1" t="str">
            <v>姓名</v>
          </cell>
          <cell r="B1" t="str">
            <v>手机号</v>
          </cell>
          <cell r="C1" t="str">
            <v>在职状态</v>
          </cell>
          <cell r="D1" t="str">
            <v>英文名</v>
          </cell>
          <cell r="E1" t="str">
            <v>一级部门</v>
          </cell>
          <cell r="F1" t="str">
            <v>二级部门</v>
          </cell>
          <cell r="G1" t="str">
            <v>三级部门</v>
          </cell>
        </row>
        <row r="2">
          <cell r="A2" t="str">
            <v>鲍春健</v>
          </cell>
          <cell r="B2" t="str">
            <v>18922814429</v>
          </cell>
          <cell r="C2" t="str">
            <v>在职</v>
          </cell>
          <cell r="D2" t="str">
            <v>bagbao</v>
          </cell>
          <cell r="E2" t="str">
            <v>中心负责人</v>
          </cell>
          <cell r="F2" t="str">
            <v/>
          </cell>
          <cell r="G2" t="str">
            <v/>
          </cell>
        </row>
        <row r="3">
          <cell r="A3" t="str">
            <v>王良虎</v>
          </cell>
          <cell r="B3" t="str">
            <v>18002570122</v>
          </cell>
          <cell r="C3" t="str">
            <v>在职</v>
          </cell>
          <cell r="D3" t="str">
            <v>nickwang</v>
          </cell>
          <cell r="E3" t="str">
            <v>中心负责人</v>
          </cell>
          <cell r="F3" t="str">
            <v/>
          </cell>
          <cell r="G3" t="str">
            <v/>
          </cell>
        </row>
        <row r="4">
          <cell r="A4" t="str">
            <v>刘松波</v>
          </cell>
          <cell r="B4" t="str">
            <v>17817812015</v>
          </cell>
          <cell r="C4" t="str">
            <v>在职</v>
          </cell>
          <cell r="D4" t="str">
            <v>zooterliu</v>
          </cell>
          <cell r="E4" t="str">
            <v>基础平台中心</v>
          </cell>
          <cell r="F4" t="str">
            <v/>
          </cell>
          <cell r="G4" t="str">
            <v/>
          </cell>
        </row>
        <row r="5">
          <cell r="A5" t="str">
            <v>陈润</v>
          </cell>
          <cell r="B5" t="str">
            <v>15817365739</v>
          </cell>
          <cell r="C5" t="str">
            <v>在职</v>
          </cell>
          <cell r="D5" t="str">
            <v>rainchen</v>
          </cell>
          <cell r="E5" t="str">
            <v>产品运营中心</v>
          </cell>
          <cell r="F5" t="str">
            <v>UI组</v>
          </cell>
          <cell r="G5" t="str">
            <v/>
          </cell>
        </row>
        <row r="6">
          <cell r="A6" t="str">
            <v>曾勇军</v>
          </cell>
          <cell r="B6" t="str">
            <v>18923885887</v>
          </cell>
          <cell r="C6" t="str">
            <v>在职</v>
          </cell>
          <cell r="D6" t="str">
            <v>jojonnzeng</v>
          </cell>
          <cell r="E6" t="str">
            <v>中心负责人</v>
          </cell>
          <cell r="F6" t="str">
            <v/>
          </cell>
          <cell r="G6" t="str">
            <v/>
          </cell>
        </row>
        <row r="7">
          <cell r="A7" t="str">
            <v>刘少军</v>
          </cell>
          <cell r="B7" t="str">
            <v>15991672530</v>
          </cell>
          <cell r="C7" t="str">
            <v>在职</v>
          </cell>
          <cell r="D7" t="str">
            <v>breezeliu</v>
          </cell>
          <cell r="E7" t="str">
            <v>产品运营中心</v>
          </cell>
          <cell r="F7" t="str">
            <v/>
          </cell>
          <cell r="G7" t="str">
            <v/>
          </cell>
        </row>
        <row r="8">
          <cell r="A8" t="str">
            <v>喻千里</v>
          </cell>
          <cell r="B8" t="str">
            <v>18565682820</v>
          </cell>
          <cell r="C8" t="str">
            <v>在职</v>
          </cell>
          <cell r="D8" t="str">
            <v>vinceyu</v>
          </cell>
          <cell r="E8" t="str">
            <v>中心负责人</v>
          </cell>
          <cell r="F8" t="str">
            <v/>
          </cell>
          <cell r="G8" t="str">
            <v/>
          </cell>
        </row>
        <row r="9">
          <cell r="A9" t="str">
            <v>何钢</v>
          </cell>
          <cell r="B9" t="str">
            <v>18588461954</v>
          </cell>
          <cell r="C9" t="str">
            <v>在职</v>
          </cell>
          <cell r="D9" t="str">
            <v>neohe</v>
          </cell>
          <cell r="E9" t="str">
            <v>直播产品中心</v>
          </cell>
          <cell r="F9" t="str">
            <v/>
          </cell>
          <cell r="G9" t="str">
            <v/>
          </cell>
        </row>
        <row r="10">
          <cell r="A10" t="str">
            <v>邹园倚</v>
          </cell>
          <cell r="B10" t="str">
            <v>13543266181</v>
          </cell>
          <cell r="C10" t="str">
            <v>在职</v>
          </cell>
          <cell r="D10" t="str">
            <v>allenzou</v>
          </cell>
          <cell r="E10" t="str">
            <v>基础平台中心</v>
          </cell>
          <cell r="F10" t="str">
            <v>出海研发组</v>
          </cell>
          <cell r="G10" t="str">
            <v/>
          </cell>
        </row>
        <row r="11">
          <cell r="A11" t="str">
            <v>樊晓星</v>
          </cell>
          <cell r="B11" t="str">
            <v>18138445824</v>
          </cell>
          <cell r="C11" t="str">
            <v>在职</v>
          </cell>
          <cell r="D11" t="str">
            <v>helenafan</v>
          </cell>
          <cell r="E11" t="str">
            <v>中心负责人</v>
          </cell>
          <cell r="F11" t="str">
            <v/>
          </cell>
          <cell r="G11" t="str">
            <v/>
          </cell>
        </row>
        <row r="12">
          <cell r="A12" t="str">
            <v>蒋雄星</v>
          </cell>
          <cell r="B12" t="str">
            <v>13924639073</v>
          </cell>
          <cell r="C12" t="str">
            <v>在职</v>
          </cell>
          <cell r="D12" t="str">
            <v>jasonjiang</v>
          </cell>
          <cell r="E12" t="str">
            <v>运营支持中心</v>
          </cell>
          <cell r="F12" t="str">
            <v>运营产品组</v>
          </cell>
          <cell r="G12" t="str">
            <v/>
          </cell>
        </row>
        <row r="13">
          <cell r="A13" t="str">
            <v>詹锦标</v>
          </cell>
          <cell r="B13" t="str">
            <v>18316022341</v>
          </cell>
          <cell r="C13" t="str">
            <v>在职</v>
          </cell>
          <cell r="D13" t="str">
            <v>czhan</v>
          </cell>
          <cell r="E13" t="str">
            <v>数智平台中心</v>
          </cell>
          <cell r="F13" t="str">
            <v>数据仓库组</v>
          </cell>
          <cell r="G13" t="str">
            <v/>
          </cell>
        </row>
        <row r="14">
          <cell r="A14" t="str">
            <v>鲁贵东</v>
          </cell>
          <cell r="B14" t="str">
            <v>13638105937</v>
          </cell>
          <cell r="C14" t="str">
            <v>在职</v>
          </cell>
          <cell r="D14" t="str">
            <v>roamlu</v>
          </cell>
          <cell r="E14" t="str">
            <v>运营支持中心</v>
          </cell>
          <cell r="F14" t="str">
            <v/>
          </cell>
          <cell r="G14" t="str">
            <v/>
          </cell>
        </row>
        <row r="15">
          <cell r="A15" t="str">
            <v>杨兰</v>
          </cell>
          <cell r="B15" t="str">
            <v>13760148722</v>
          </cell>
          <cell r="C15" t="str">
            <v>在职</v>
          </cell>
          <cell r="D15" t="str">
            <v>fannyyang</v>
          </cell>
          <cell r="E15" t="str">
            <v>品牌运营中心</v>
          </cell>
          <cell r="F15" t="str">
            <v>训练营运营组</v>
          </cell>
          <cell r="G15" t="str">
            <v>售前训练营组</v>
          </cell>
        </row>
        <row r="16">
          <cell r="A16" t="str">
            <v>吴迪颖</v>
          </cell>
          <cell r="B16" t="str">
            <v>13632818972</v>
          </cell>
          <cell r="C16" t="str">
            <v>在职</v>
          </cell>
          <cell r="D16" t="str">
            <v>woodywu</v>
          </cell>
          <cell r="E16" t="str">
            <v>营销产品中心</v>
          </cell>
          <cell r="F16" t="str">
            <v/>
          </cell>
          <cell r="G16" t="str">
            <v/>
          </cell>
        </row>
        <row r="17">
          <cell r="A17" t="str">
            <v>洪梦楠</v>
          </cell>
          <cell r="B17" t="str">
            <v>13873640552</v>
          </cell>
          <cell r="C17" t="str">
            <v>在职</v>
          </cell>
          <cell r="D17" t="str">
            <v>vickyhong</v>
          </cell>
          <cell r="E17" t="str">
            <v>数智平台中心</v>
          </cell>
          <cell r="F17" t="str">
            <v>数智后台一组</v>
          </cell>
          <cell r="G17" t="str">
            <v/>
          </cell>
        </row>
        <row r="18">
          <cell r="A18" t="str">
            <v>韩双娇</v>
          </cell>
          <cell r="B18" t="str">
            <v>15820495005</v>
          </cell>
          <cell r="C18" t="str">
            <v>在职</v>
          </cell>
          <cell r="D18" t="str">
            <v>susanhan</v>
          </cell>
          <cell r="E18" t="str">
            <v>品牌运营中心</v>
          </cell>
          <cell r="F18" t="str">
            <v>训练营运营组</v>
          </cell>
          <cell r="G18" t="str">
            <v>售前训练营组</v>
          </cell>
        </row>
        <row r="19">
          <cell r="A19" t="str">
            <v>潘恬</v>
          </cell>
          <cell r="B19" t="str">
            <v>17620300106</v>
          </cell>
          <cell r="C19" t="str">
            <v>在职</v>
          </cell>
          <cell r="D19" t="str">
            <v>tianpan</v>
          </cell>
          <cell r="E19" t="str">
            <v>中心负责人</v>
          </cell>
          <cell r="F19" t="str">
            <v/>
          </cell>
          <cell r="G19" t="str">
            <v/>
          </cell>
        </row>
        <row r="20">
          <cell r="A20" t="str">
            <v>叶宜坤</v>
          </cell>
          <cell r="B20" t="str">
            <v>16625204581</v>
          </cell>
          <cell r="C20" t="str">
            <v>在职</v>
          </cell>
          <cell r="D20" t="str">
            <v>levanye</v>
          </cell>
          <cell r="E20" t="str">
            <v>数智平台中心</v>
          </cell>
          <cell r="F20" t="str">
            <v>数智后台三组</v>
          </cell>
          <cell r="G20" t="str">
            <v/>
          </cell>
        </row>
        <row r="21">
          <cell r="A21" t="str">
            <v>张萌乐</v>
          </cell>
          <cell r="B21" t="str">
            <v>15517710112</v>
          </cell>
          <cell r="C21" t="str">
            <v>在职</v>
          </cell>
          <cell r="D21" t="str">
            <v>lionzhang</v>
          </cell>
          <cell r="E21" t="str">
            <v>基础平台中心</v>
          </cell>
          <cell r="F21" t="str">
            <v>效能平台组</v>
          </cell>
          <cell r="G21" t="str">
            <v/>
          </cell>
        </row>
        <row r="22">
          <cell r="A22" t="str">
            <v>胡家伟</v>
          </cell>
          <cell r="B22" t="str">
            <v>18928405456</v>
          </cell>
          <cell r="C22" t="str">
            <v>在职</v>
          </cell>
          <cell r="D22" t="str">
            <v>jowellhu</v>
          </cell>
          <cell r="E22" t="str">
            <v>自营销售中心</v>
          </cell>
          <cell r="F22" t="str">
            <v>自营投放组</v>
          </cell>
          <cell r="G22" t="str">
            <v/>
          </cell>
        </row>
        <row r="23">
          <cell r="A23" t="str">
            <v>刘威</v>
          </cell>
          <cell r="B23" t="str">
            <v>18473333268</v>
          </cell>
          <cell r="C23" t="str">
            <v>在职</v>
          </cell>
          <cell r="D23" t="str">
            <v>abnerliu</v>
          </cell>
          <cell r="E23" t="str">
            <v>直播平台中心</v>
          </cell>
          <cell r="F23" t="str">
            <v>直播后台开发组</v>
          </cell>
          <cell r="G23" t="str">
            <v/>
          </cell>
        </row>
        <row r="24">
          <cell r="A24" t="str">
            <v>肖诚</v>
          </cell>
          <cell r="B24" t="str">
            <v>17817280527</v>
          </cell>
          <cell r="C24" t="str">
            <v>在职</v>
          </cell>
          <cell r="D24" t="str">
            <v>stephenxiao</v>
          </cell>
          <cell r="E24" t="str">
            <v>基础平台中心</v>
          </cell>
          <cell r="F24" t="str">
            <v>测试运维组</v>
          </cell>
          <cell r="G24" t="str">
            <v>教培测试组</v>
          </cell>
        </row>
        <row r="25">
          <cell r="A25" t="str">
            <v>张云龙</v>
          </cell>
          <cell r="B25" t="str">
            <v>18923881420</v>
          </cell>
          <cell r="C25" t="str">
            <v>在职</v>
          </cell>
          <cell r="D25" t="str">
            <v>hillzhang</v>
          </cell>
          <cell r="E25" t="str">
            <v>中心负责人</v>
          </cell>
          <cell r="F25" t="str">
            <v/>
          </cell>
          <cell r="G25" t="str">
            <v/>
          </cell>
        </row>
        <row r="26">
          <cell r="A26" t="str">
            <v>王铁波</v>
          </cell>
          <cell r="B26" t="str">
            <v>13828732051</v>
          </cell>
          <cell r="C26" t="str">
            <v>在职</v>
          </cell>
          <cell r="D26" t="str">
            <v>hankwang</v>
          </cell>
          <cell r="E26" t="str">
            <v>中心负责人</v>
          </cell>
          <cell r="F26" t="str">
            <v/>
          </cell>
          <cell r="G26" t="str">
            <v/>
          </cell>
        </row>
        <row r="27">
          <cell r="A27" t="str">
            <v>刘涛</v>
          </cell>
          <cell r="B27" t="str">
            <v>17512078099</v>
          </cell>
          <cell r="C27" t="str">
            <v>在职</v>
          </cell>
          <cell r="D27" t="str">
            <v>jonyliu</v>
          </cell>
          <cell r="E27" t="str">
            <v>战略投资中心</v>
          </cell>
          <cell r="F27" t="str">
            <v>风控组</v>
          </cell>
          <cell r="G27" t="str">
            <v/>
          </cell>
        </row>
        <row r="28">
          <cell r="A28" t="str">
            <v>林柏坤</v>
          </cell>
          <cell r="B28" t="str">
            <v>13631539770</v>
          </cell>
          <cell r="C28" t="str">
            <v>在职</v>
          </cell>
          <cell r="D28" t="str">
            <v>bokunlin</v>
          </cell>
          <cell r="E28" t="str">
            <v>学习产品中心</v>
          </cell>
          <cell r="F28" t="str">
            <v/>
          </cell>
          <cell r="G28" t="str">
            <v/>
          </cell>
        </row>
        <row r="29">
          <cell r="A29" t="str">
            <v>陈小惠</v>
          </cell>
          <cell r="B29" t="str">
            <v>18617195896</v>
          </cell>
          <cell r="C29" t="str">
            <v>在职</v>
          </cell>
          <cell r="D29" t="str">
            <v>lilianchen</v>
          </cell>
          <cell r="E29" t="str">
            <v>基础平台中心</v>
          </cell>
          <cell r="F29" t="str">
            <v>前端开发组</v>
          </cell>
          <cell r="G29" t="str">
            <v/>
          </cell>
        </row>
        <row r="30">
          <cell r="A30" t="str">
            <v>饶艳娇</v>
          </cell>
          <cell r="B30" t="str">
            <v>15802663827</v>
          </cell>
          <cell r="C30" t="str">
            <v>在职</v>
          </cell>
          <cell r="D30" t="str">
            <v>cannarao</v>
          </cell>
          <cell r="E30" t="str">
            <v>品牌运营中心</v>
          </cell>
          <cell r="F30" t="str">
            <v>训练营运营组</v>
          </cell>
          <cell r="G30" t="str">
            <v>售前训练营组</v>
          </cell>
        </row>
        <row r="31">
          <cell r="A31" t="str">
            <v>夏乐</v>
          </cell>
          <cell r="B31" t="str">
            <v>15801292916</v>
          </cell>
          <cell r="C31" t="str">
            <v>在职</v>
          </cell>
          <cell r="D31" t="str">
            <v>summerxia</v>
          </cell>
          <cell r="E31" t="str">
            <v>综合职能中心</v>
          </cell>
          <cell r="F31" t="str">
            <v>人力组</v>
          </cell>
          <cell r="G31" t="str">
            <v>招聘BP组</v>
          </cell>
        </row>
        <row r="32">
          <cell r="A32" t="str">
            <v>张真维</v>
          </cell>
          <cell r="B32" t="str">
            <v>18603053609</v>
          </cell>
          <cell r="C32" t="str">
            <v>在职</v>
          </cell>
          <cell r="D32" t="str">
            <v>zhenweizhang</v>
          </cell>
          <cell r="E32" t="str">
            <v>KA销售中心</v>
          </cell>
          <cell r="F32" t="str">
            <v>渠道合作组-华北区</v>
          </cell>
          <cell r="G32" t="str">
            <v/>
          </cell>
        </row>
        <row r="33">
          <cell r="A33" t="str">
            <v>梁芝</v>
          </cell>
          <cell r="B33" t="str">
            <v>19864706061</v>
          </cell>
          <cell r="C33" t="str">
            <v>在职</v>
          </cell>
          <cell r="D33" t="str">
            <v>adaliang</v>
          </cell>
          <cell r="E33" t="str">
            <v>电商产品中心</v>
          </cell>
          <cell r="F33" t="str">
            <v>电商后台二组</v>
          </cell>
          <cell r="G33" t="str">
            <v/>
          </cell>
        </row>
        <row r="34">
          <cell r="A34" t="str">
            <v>尹贺杰</v>
          </cell>
          <cell r="B34" t="str">
            <v>18390945427</v>
          </cell>
          <cell r="C34" t="str">
            <v>在职</v>
          </cell>
          <cell r="D34" t="str">
            <v>janiceyin</v>
          </cell>
          <cell r="E34" t="str">
            <v>综合职能中心</v>
          </cell>
          <cell r="F34" t="str">
            <v>人力组</v>
          </cell>
          <cell r="G34" t="str">
            <v>招聘BP组</v>
          </cell>
        </row>
        <row r="35">
          <cell r="A35" t="str">
            <v>刘群</v>
          </cell>
          <cell r="B35" t="str">
            <v>13244860705</v>
          </cell>
          <cell r="C35" t="str">
            <v>在职</v>
          </cell>
          <cell r="D35" t="str">
            <v>janeliu</v>
          </cell>
          <cell r="E35" t="str">
            <v>KA销售中心</v>
          </cell>
          <cell r="F35" t="str">
            <v>渠道合作组-华南区</v>
          </cell>
          <cell r="G35" t="str">
            <v/>
          </cell>
        </row>
        <row r="36">
          <cell r="A36" t="str">
            <v>倪玉泉</v>
          </cell>
          <cell r="B36" t="str">
            <v>13077841305</v>
          </cell>
          <cell r="C36" t="str">
            <v>在职</v>
          </cell>
          <cell r="D36" t="str">
            <v>parisni</v>
          </cell>
          <cell r="E36" t="str">
            <v>基础平台中心</v>
          </cell>
          <cell r="F36" t="str">
            <v>测试运维组</v>
          </cell>
          <cell r="G36" t="str">
            <v>平台测试组</v>
          </cell>
        </row>
        <row r="37">
          <cell r="A37" t="str">
            <v>王梓城</v>
          </cell>
          <cell r="B37" t="str">
            <v>13790063998</v>
          </cell>
          <cell r="C37" t="str">
            <v>在职</v>
          </cell>
          <cell r="D37" t="str">
            <v>princewang</v>
          </cell>
          <cell r="E37" t="str">
            <v>基础平台中心</v>
          </cell>
          <cell r="F37" t="str">
            <v>效能平台组</v>
          </cell>
          <cell r="G37" t="str">
            <v/>
          </cell>
        </row>
        <row r="38">
          <cell r="A38" t="str">
            <v>王梓沣</v>
          </cell>
          <cell r="B38" t="str">
            <v>18724609866</v>
          </cell>
          <cell r="C38" t="str">
            <v>在职</v>
          </cell>
          <cell r="D38" t="str">
            <v>antonywang</v>
          </cell>
          <cell r="E38" t="str">
            <v>自营销售中心</v>
          </cell>
          <cell r="F38" t="str">
            <v>自营服务支持组</v>
          </cell>
          <cell r="G38" t="str">
            <v/>
          </cell>
        </row>
        <row r="39">
          <cell r="A39" t="str">
            <v>叶文杰</v>
          </cell>
          <cell r="B39" t="str">
            <v>18814480943</v>
          </cell>
          <cell r="C39" t="str">
            <v>在职</v>
          </cell>
          <cell r="D39" t="str">
            <v>haideeye</v>
          </cell>
          <cell r="E39" t="str">
            <v>基础平台中心</v>
          </cell>
          <cell r="F39" t="str">
            <v>测试运维组</v>
          </cell>
          <cell r="G39" t="str">
            <v>教培测试组</v>
          </cell>
        </row>
        <row r="40">
          <cell r="A40" t="str">
            <v>潘明雷</v>
          </cell>
          <cell r="B40" t="str">
            <v>15889769253</v>
          </cell>
          <cell r="C40" t="str">
            <v>在职</v>
          </cell>
          <cell r="D40" t="str">
            <v>brianpan</v>
          </cell>
          <cell r="E40" t="str">
            <v>基础平台中心</v>
          </cell>
          <cell r="F40" t="str">
            <v>测试运维组</v>
          </cell>
          <cell r="G40" t="str">
            <v>基础运维组</v>
          </cell>
        </row>
        <row r="41">
          <cell r="A41" t="str">
            <v>黄志伟</v>
          </cell>
          <cell r="B41" t="str">
            <v>15507534276</v>
          </cell>
          <cell r="C41" t="str">
            <v>在职</v>
          </cell>
          <cell r="D41" t="str">
            <v>zorohuang</v>
          </cell>
          <cell r="E41" t="str">
            <v>基础平台中心</v>
          </cell>
          <cell r="F41" t="str">
            <v>测试运维组</v>
          </cell>
          <cell r="G41" t="str">
            <v>教培测试组</v>
          </cell>
        </row>
        <row r="42">
          <cell r="A42" t="str">
            <v>邓小艳</v>
          </cell>
          <cell r="B42" t="str">
            <v>15013568596</v>
          </cell>
          <cell r="C42" t="str">
            <v>在职</v>
          </cell>
          <cell r="D42" t="str">
            <v>yanniedeng</v>
          </cell>
          <cell r="E42" t="str">
            <v>品牌运营中心</v>
          </cell>
          <cell r="F42" t="str">
            <v>教练联盟组</v>
          </cell>
          <cell r="G42" t="str">
            <v/>
          </cell>
        </row>
        <row r="43">
          <cell r="A43" t="str">
            <v>梁知杰</v>
          </cell>
          <cell r="B43" t="str">
            <v>18682437187</v>
          </cell>
          <cell r="C43" t="str">
            <v>在职</v>
          </cell>
          <cell r="D43" t="str">
            <v>jackyliang</v>
          </cell>
          <cell r="E43" t="str">
            <v>直播平台中心</v>
          </cell>
          <cell r="F43" t="str">
            <v>APP开发组</v>
          </cell>
          <cell r="G43" t="str">
            <v/>
          </cell>
        </row>
        <row r="44">
          <cell r="A44" t="str">
            <v>杨锋涛</v>
          </cell>
          <cell r="B44" t="str">
            <v>13809713954</v>
          </cell>
          <cell r="C44" t="str">
            <v>在职</v>
          </cell>
          <cell r="D44" t="str">
            <v>jerryyang</v>
          </cell>
          <cell r="E44" t="str">
            <v>中心负责人</v>
          </cell>
          <cell r="F44" t="str">
            <v/>
          </cell>
          <cell r="G44" t="str">
            <v/>
          </cell>
        </row>
        <row r="45">
          <cell r="A45" t="str">
            <v>蒙之新</v>
          </cell>
          <cell r="B45" t="str">
            <v>18923885912</v>
          </cell>
          <cell r="C45" t="str">
            <v>在职</v>
          </cell>
          <cell r="D45" t="str">
            <v>zhixinmeng</v>
          </cell>
          <cell r="E45" t="str">
            <v>数智平台中心</v>
          </cell>
          <cell r="F45" t="str">
            <v>数据仓库组</v>
          </cell>
          <cell r="G45" t="str">
            <v/>
          </cell>
        </row>
        <row r="46">
          <cell r="A46" t="str">
            <v>冯江尧</v>
          </cell>
          <cell r="B46" t="str">
            <v>17620010112</v>
          </cell>
          <cell r="C46" t="str">
            <v>在职</v>
          </cell>
          <cell r="D46" t="str">
            <v>richardfeng</v>
          </cell>
          <cell r="E46" t="str">
            <v>学习产品中心</v>
          </cell>
          <cell r="F46" t="str">
            <v>助学业务组</v>
          </cell>
          <cell r="G46" t="str">
            <v/>
          </cell>
        </row>
        <row r="47">
          <cell r="A47" t="str">
            <v>廖地金</v>
          </cell>
          <cell r="B47" t="str">
            <v>17097232551</v>
          </cell>
          <cell r="C47" t="str">
            <v>在职</v>
          </cell>
          <cell r="D47" t="str">
            <v>lanceliao</v>
          </cell>
          <cell r="E47" t="str">
            <v>基础平台中心</v>
          </cell>
          <cell r="F47" t="str">
            <v>测试运维组</v>
          </cell>
          <cell r="G47" t="str">
            <v>基础运维组</v>
          </cell>
        </row>
        <row r="48">
          <cell r="A48" t="str">
            <v>卢斯鑫</v>
          </cell>
          <cell r="B48" t="str">
            <v>15625518977</v>
          </cell>
          <cell r="C48" t="str">
            <v>在职</v>
          </cell>
          <cell r="D48" t="str">
            <v>xlaobailu</v>
          </cell>
          <cell r="E48" t="str">
            <v>直播平台中心</v>
          </cell>
          <cell r="F48" t="str">
            <v>前端应用开发组</v>
          </cell>
          <cell r="G48" t="str">
            <v/>
          </cell>
        </row>
        <row r="49">
          <cell r="A49" t="str">
            <v>廖杏梅</v>
          </cell>
          <cell r="B49" t="str">
            <v>15919331983</v>
          </cell>
          <cell r="C49" t="str">
            <v>在职</v>
          </cell>
          <cell r="D49" t="str">
            <v>riverliao</v>
          </cell>
          <cell r="E49" t="str">
            <v>品牌运营中心</v>
          </cell>
          <cell r="F49" t="str">
            <v>训练营运营组</v>
          </cell>
          <cell r="G49" t="str">
            <v>售前训练营组</v>
          </cell>
        </row>
        <row r="50">
          <cell r="A50" t="str">
            <v>肖春艳</v>
          </cell>
          <cell r="B50" t="str">
            <v>13590311017</v>
          </cell>
          <cell r="C50" t="str">
            <v>在职</v>
          </cell>
          <cell r="D50" t="str">
            <v>yanzixiao</v>
          </cell>
          <cell r="E50" t="str">
            <v>品牌运营中心</v>
          </cell>
          <cell r="F50" t="str">
            <v>训练营运营组</v>
          </cell>
          <cell r="G50" t="str">
            <v>售前训练营组</v>
          </cell>
        </row>
        <row r="51">
          <cell r="A51" t="str">
            <v>吴虎成</v>
          </cell>
          <cell r="B51" t="str">
            <v>15527949240</v>
          </cell>
          <cell r="C51" t="str">
            <v>在职</v>
          </cell>
          <cell r="D51" t="str">
            <v>arieswu</v>
          </cell>
          <cell r="E51" t="str">
            <v>自营销售中心</v>
          </cell>
          <cell r="F51" t="str">
            <v>LA服务组</v>
          </cell>
          <cell r="G51" t="str">
            <v/>
          </cell>
        </row>
        <row r="52">
          <cell r="A52" t="str">
            <v>林韵</v>
          </cell>
          <cell r="B52" t="str">
            <v>13128737336</v>
          </cell>
          <cell r="C52" t="str">
            <v>在职</v>
          </cell>
          <cell r="D52" t="str">
            <v>linlin</v>
          </cell>
          <cell r="E52" t="str">
            <v>战略投资中心</v>
          </cell>
          <cell r="F52" t="str">
            <v>风控组</v>
          </cell>
          <cell r="G52" t="str">
            <v/>
          </cell>
        </row>
        <row r="53">
          <cell r="A53" t="str">
            <v>李宗巩</v>
          </cell>
          <cell r="B53" t="str">
            <v>15992684509</v>
          </cell>
          <cell r="C53" t="str">
            <v>在职</v>
          </cell>
          <cell r="D53" t="str">
            <v>akonli</v>
          </cell>
          <cell r="E53" t="str">
            <v>电商产品中心</v>
          </cell>
          <cell r="F53" t="str">
            <v>电商产品组</v>
          </cell>
          <cell r="G53" t="str">
            <v/>
          </cell>
        </row>
        <row r="54">
          <cell r="A54" t="str">
            <v>叶宇昕</v>
          </cell>
          <cell r="B54" t="str">
            <v>13590412486</v>
          </cell>
          <cell r="C54" t="str">
            <v>在职</v>
          </cell>
          <cell r="D54" t="str">
            <v>ethanye</v>
          </cell>
          <cell r="E54" t="str">
            <v>学习产品中心</v>
          </cell>
          <cell r="F54" t="str">
            <v>APP业务组</v>
          </cell>
          <cell r="G54" t="str">
            <v/>
          </cell>
        </row>
        <row r="55">
          <cell r="A55" t="str">
            <v>黄晓俊</v>
          </cell>
          <cell r="B55" t="str">
            <v>13267166949</v>
          </cell>
          <cell r="C55" t="str">
            <v>在职</v>
          </cell>
          <cell r="D55" t="str">
            <v>channinghuang</v>
          </cell>
          <cell r="E55" t="str">
            <v>学习产品中心</v>
          </cell>
          <cell r="F55" t="str">
            <v>圈子业务组</v>
          </cell>
          <cell r="G55" t="str">
            <v/>
          </cell>
        </row>
        <row r="56">
          <cell r="A56" t="str">
            <v>黄琛茹</v>
          </cell>
          <cell r="B56" t="str">
            <v>13662218483</v>
          </cell>
          <cell r="C56" t="str">
            <v>在职</v>
          </cell>
          <cell r="D56" t="str">
            <v>chenruhuang</v>
          </cell>
          <cell r="E56" t="str">
            <v>品牌运营中心</v>
          </cell>
          <cell r="F56" t="str">
            <v>视觉组</v>
          </cell>
          <cell r="G56" t="str">
            <v/>
          </cell>
        </row>
        <row r="57">
          <cell r="A57" t="str">
            <v>何艾青</v>
          </cell>
          <cell r="B57" t="str">
            <v>13823251692</v>
          </cell>
          <cell r="C57" t="str">
            <v>在职</v>
          </cell>
          <cell r="D57" t="str">
            <v>sindyhe</v>
          </cell>
          <cell r="E57" t="str">
            <v>产品运营中心</v>
          </cell>
          <cell r="F57" t="str">
            <v>客户服务组</v>
          </cell>
          <cell r="G57" t="str">
            <v>投诉热线组</v>
          </cell>
        </row>
        <row r="58">
          <cell r="A58" t="str">
            <v>肖丹</v>
          </cell>
          <cell r="B58" t="str">
            <v>17665246620</v>
          </cell>
          <cell r="C58" t="str">
            <v>在职</v>
          </cell>
          <cell r="D58" t="str">
            <v>mandyxiao</v>
          </cell>
          <cell r="E58" t="str">
            <v>营销产品中心</v>
          </cell>
          <cell r="F58" t="str">
            <v>营销产品组</v>
          </cell>
          <cell r="G58" t="str">
            <v/>
          </cell>
        </row>
        <row r="59">
          <cell r="A59" t="str">
            <v>林李景</v>
          </cell>
          <cell r="B59" t="str">
            <v>13688891067</v>
          </cell>
          <cell r="C59" t="str">
            <v>在职</v>
          </cell>
          <cell r="D59" t="str">
            <v>rorylin</v>
          </cell>
          <cell r="E59" t="str">
            <v>直播平台中心</v>
          </cell>
          <cell r="F59" t="str">
            <v>APP开发组</v>
          </cell>
          <cell r="G59" t="str">
            <v/>
          </cell>
        </row>
        <row r="60">
          <cell r="A60" t="str">
            <v>张泽北</v>
          </cell>
          <cell r="B60" t="str">
            <v>18676776707</v>
          </cell>
          <cell r="C60" t="str">
            <v>在职</v>
          </cell>
          <cell r="D60" t="str">
            <v>northzhang</v>
          </cell>
          <cell r="E60" t="str">
            <v>品牌运营中心</v>
          </cell>
          <cell r="F60" t="str">
            <v>私域实验组</v>
          </cell>
          <cell r="G60" t="str">
            <v/>
          </cell>
        </row>
        <row r="61">
          <cell r="A61" t="str">
            <v>邓官平</v>
          </cell>
          <cell r="B61" t="str">
            <v>15217062594</v>
          </cell>
          <cell r="C61" t="str">
            <v>在职</v>
          </cell>
          <cell r="D61" t="str">
            <v>jiemdeng</v>
          </cell>
          <cell r="E61" t="str">
            <v>品牌运营中心</v>
          </cell>
          <cell r="F61" t="str">
            <v>训练营运营组</v>
          </cell>
          <cell r="G61" t="str">
            <v>售前训练营组</v>
          </cell>
        </row>
        <row r="62">
          <cell r="A62" t="str">
            <v>李杨</v>
          </cell>
          <cell r="B62" t="str">
            <v>18671778713</v>
          </cell>
          <cell r="C62" t="str">
            <v>在职</v>
          </cell>
          <cell r="D62" t="str">
            <v>jacobli</v>
          </cell>
          <cell r="E62" t="str">
            <v>直播平台中心</v>
          </cell>
          <cell r="F62" t="str">
            <v>前端平台开发组</v>
          </cell>
          <cell r="G62" t="str">
            <v/>
          </cell>
        </row>
        <row r="63">
          <cell r="A63" t="str">
            <v>林青枝</v>
          </cell>
          <cell r="B63" t="str">
            <v>13760124384</v>
          </cell>
          <cell r="C63" t="str">
            <v>在职</v>
          </cell>
          <cell r="D63" t="str">
            <v>stacylin</v>
          </cell>
          <cell r="E63" t="str">
            <v>综合职能中心</v>
          </cell>
          <cell r="F63" t="str">
            <v>人力组</v>
          </cell>
          <cell r="G63" t="str">
            <v>招聘BP组</v>
          </cell>
        </row>
        <row r="64">
          <cell r="A64" t="str">
            <v>张耀华</v>
          </cell>
          <cell r="B64" t="str">
            <v>15626563689</v>
          </cell>
          <cell r="C64" t="str">
            <v>在职</v>
          </cell>
          <cell r="D64" t="str">
            <v>yorkzhang</v>
          </cell>
          <cell r="E64" t="str">
            <v>学习产品中心</v>
          </cell>
          <cell r="F64" t="str">
            <v>APP业务组</v>
          </cell>
          <cell r="G64" t="str">
            <v/>
          </cell>
        </row>
        <row r="65">
          <cell r="A65" t="str">
            <v>周艳</v>
          </cell>
          <cell r="B65" t="str">
            <v>18171386145</v>
          </cell>
          <cell r="C65" t="str">
            <v>在职</v>
          </cell>
          <cell r="D65" t="str">
            <v>zoezhou</v>
          </cell>
          <cell r="E65" t="str">
            <v>企培产品中心</v>
          </cell>
          <cell r="F65" t="str">
            <v>企培研发组</v>
          </cell>
          <cell r="G65" t="str">
            <v/>
          </cell>
        </row>
        <row r="66">
          <cell r="A66" t="str">
            <v>刘翊</v>
          </cell>
          <cell r="B66" t="str">
            <v>17507526374</v>
          </cell>
          <cell r="C66" t="str">
            <v>在职</v>
          </cell>
          <cell r="D66" t="str">
            <v>bensonliu</v>
          </cell>
          <cell r="E66" t="str">
            <v>KA销售中心</v>
          </cell>
          <cell r="F66" t="str">
            <v>渠道合作组-华南区</v>
          </cell>
          <cell r="G66" t="str">
            <v/>
          </cell>
        </row>
        <row r="67">
          <cell r="A67" t="str">
            <v>刘云杰</v>
          </cell>
          <cell r="B67" t="str">
            <v>18665367086</v>
          </cell>
          <cell r="C67" t="str">
            <v>在职</v>
          </cell>
          <cell r="D67" t="str">
            <v>poppyliu</v>
          </cell>
          <cell r="E67" t="str">
            <v>企培产品中心</v>
          </cell>
          <cell r="F67" t="str">
            <v>客户组</v>
          </cell>
          <cell r="G67" t="str">
            <v/>
          </cell>
        </row>
        <row r="68">
          <cell r="A68" t="str">
            <v>江必焕</v>
          </cell>
          <cell r="B68" t="str">
            <v>13925215443</v>
          </cell>
          <cell r="C68" t="str">
            <v>在职</v>
          </cell>
          <cell r="D68" t="str">
            <v>eivisjiang</v>
          </cell>
          <cell r="E68" t="str">
            <v>营销产品中心</v>
          </cell>
          <cell r="F68" t="str">
            <v>营销前端组</v>
          </cell>
          <cell r="G68" t="str">
            <v/>
          </cell>
        </row>
        <row r="69">
          <cell r="A69" t="str">
            <v>余雄伟</v>
          </cell>
          <cell r="B69" t="str">
            <v>18274874549</v>
          </cell>
          <cell r="C69" t="str">
            <v>在职</v>
          </cell>
          <cell r="D69" t="str">
            <v>aronyu</v>
          </cell>
          <cell r="E69" t="str">
            <v>运营支持中心</v>
          </cell>
          <cell r="F69" t="str">
            <v>运营产品组</v>
          </cell>
          <cell r="G69" t="str">
            <v/>
          </cell>
        </row>
        <row r="70">
          <cell r="A70" t="str">
            <v>吴志林</v>
          </cell>
          <cell r="B70" t="str">
            <v>18033085030</v>
          </cell>
          <cell r="C70" t="str">
            <v>在职</v>
          </cell>
          <cell r="D70" t="str">
            <v>zhilinwu</v>
          </cell>
          <cell r="E70" t="str">
            <v>生态运营中心</v>
          </cell>
          <cell r="F70" t="str">
            <v>KA运营组</v>
          </cell>
          <cell r="G70" t="str">
            <v/>
          </cell>
        </row>
        <row r="71">
          <cell r="A71" t="str">
            <v>田晓辉</v>
          </cell>
          <cell r="B71" t="str">
            <v>13424356389</v>
          </cell>
          <cell r="C71" t="str">
            <v>在职</v>
          </cell>
          <cell r="D71" t="str">
            <v>petertian</v>
          </cell>
          <cell r="E71" t="str">
            <v>自营销售中心</v>
          </cell>
          <cell r="F71" t="str">
            <v/>
          </cell>
          <cell r="G71" t="str">
            <v/>
          </cell>
        </row>
        <row r="72">
          <cell r="A72" t="str">
            <v>尹永明</v>
          </cell>
          <cell r="B72" t="str">
            <v>13580755482</v>
          </cell>
          <cell r="C72" t="str">
            <v>在职</v>
          </cell>
          <cell r="D72" t="str">
            <v>whirlyyin</v>
          </cell>
          <cell r="E72" t="str">
            <v>数智平台中心</v>
          </cell>
          <cell r="F72" t="str">
            <v>数智后台一组</v>
          </cell>
          <cell r="G72" t="str">
            <v/>
          </cell>
        </row>
        <row r="73">
          <cell r="A73" t="str">
            <v>彭珊珊</v>
          </cell>
          <cell r="B73" t="str">
            <v>17512007304</v>
          </cell>
          <cell r="C73" t="str">
            <v>在职</v>
          </cell>
          <cell r="D73" t="str">
            <v>sencepeng</v>
          </cell>
          <cell r="E73" t="str">
            <v>数智平台中心</v>
          </cell>
          <cell r="F73" t="str">
            <v>数智后台二组</v>
          </cell>
          <cell r="G73" t="str">
            <v/>
          </cell>
        </row>
        <row r="74">
          <cell r="A74" t="str">
            <v>黎东娴</v>
          </cell>
          <cell r="B74" t="str">
            <v>13760836158</v>
          </cell>
          <cell r="C74" t="str">
            <v>在职</v>
          </cell>
          <cell r="D74" t="str">
            <v>ali</v>
          </cell>
          <cell r="E74" t="str">
            <v>企培产品中心</v>
          </cell>
          <cell r="F74" t="str">
            <v>企培业务组</v>
          </cell>
          <cell r="G74" t="str">
            <v/>
          </cell>
        </row>
        <row r="75">
          <cell r="A75" t="str">
            <v>施宁</v>
          </cell>
          <cell r="B75" t="str">
            <v>17770014582</v>
          </cell>
          <cell r="C75" t="str">
            <v>在职</v>
          </cell>
          <cell r="D75" t="str">
            <v>sevenshi</v>
          </cell>
          <cell r="E75" t="str">
            <v>生态运营中心</v>
          </cell>
          <cell r="F75" t="str">
            <v>生态行业运营组</v>
          </cell>
          <cell r="G75" t="str">
            <v/>
          </cell>
        </row>
        <row r="76">
          <cell r="A76" t="str">
            <v>欧阳志伟</v>
          </cell>
          <cell r="B76" t="str">
            <v>18720972175</v>
          </cell>
          <cell r="C76" t="str">
            <v>在职</v>
          </cell>
          <cell r="D76" t="str">
            <v>ouyangouyang</v>
          </cell>
          <cell r="E76" t="str">
            <v>生态运营中心</v>
          </cell>
          <cell r="F76" t="str">
            <v>KA运营组</v>
          </cell>
          <cell r="G76" t="str">
            <v/>
          </cell>
        </row>
        <row r="77">
          <cell r="A77" t="str">
            <v>叶春阳</v>
          </cell>
          <cell r="B77" t="str">
            <v>18681490793</v>
          </cell>
          <cell r="C77" t="str">
            <v>在职</v>
          </cell>
          <cell r="D77" t="str">
            <v>hedyye</v>
          </cell>
          <cell r="E77" t="str">
            <v>自营销售中心</v>
          </cell>
          <cell r="F77" t="str">
            <v>SDR一组</v>
          </cell>
          <cell r="G77" t="str">
            <v/>
          </cell>
        </row>
        <row r="78">
          <cell r="A78" t="str">
            <v>王晗</v>
          </cell>
          <cell r="B78" t="str">
            <v>13801037490</v>
          </cell>
          <cell r="C78" t="str">
            <v>在职</v>
          </cell>
          <cell r="D78" t="str">
            <v>karenwang</v>
          </cell>
          <cell r="E78" t="str">
            <v>中心负责人</v>
          </cell>
          <cell r="F78" t="str">
            <v/>
          </cell>
          <cell r="G78" t="str">
            <v/>
          </cell>
        </row>
        <row r="79">
          <cell r="A79" t="str">
            <v>邓建平</v>
          </cell>
          <cell r="B79" t="str">
            <v>18702515241</v>
          </cell>
          <cell r="C79" t="str">
            <v>在职</v>
          </cell>
          <cell r="D79" t="str">
            <v>jasperdeng</v>
          </cell>
          <cell r="E79" t="str">
            <v>企培产品中心</v>
          </cell>
          <cell r="F79" t="str">
            <v>企培业务组</v>
          </cell>
          <cell r="G79" t="str">
            <v/>
          </cell>
        </row>
        <row r="80">
          <cell r="A80" t="str">
            <v>谢春才</v>
          </cell>
          <cell r="B80" t="str">
            <v>16675377796</v>
          </cell>
          <cell r="C80" t="str">
            <v>在职</v>
          </cell>
          <cell r="D80" t="str">
            <v>carlxie</v>
          </cell>
          <cell r="E80" t="str">
            <v>直播产品中心</v>
          </cell>
          <cell r="F80" t="str">
            <v>后台一组</v>
          </cell>
          <cell r="G80" t="str">
            <v/>
          </cell>
        </row>
        <row r="81">
          <cell r="A81" t="str">
            <v>黄楷创</v>
          </cell>
          <cell r="B81" t="str">
            <v>13751062967</v>
          </cell>
          <cell r="C81" t="str">
            <v>在职</v>
          </cell>
          <cell r="D81" t="str">
            <v>leohuang</v>
          </cell>
          <cell r="E81" t="str">
            <v>财务中心</v>
          </cell>
          <cell r="F81" t="str">
            <v>财务组</v>
          </cell>
          <cell r="G81" t="str">
            <v/>
          </cell>
        </row>
        <row r="82">
          <cell r="A82" t="str">
            <v>温旭</v>
          </cell>
          <cell r="B82" t="str">
            <v>17388916605</v>
          </cell>
          <cell r="C82" t="str">
            <v>在职</v>
          </cell>
          <cell r="D82" t="str">
            <v>wilsonwen</v>
          </cell>
          <cell r="E82" t="str">
            <v>品牌运营中心</v>
          </cell>
          <cell r="F82" t="str">
            <v>训练营运营组</v>
          </cell>
          <cell r="G82" t="str">
            <v>售后训练营组</v>
          </cell>
        </row>
        <row r="83">
          <cell r="A83" t="str">
            <v>赵海英</v>
          </cell>
          <cell r="B83" t="str">
            <v>15712140153</v>
          </cell>
          <cell r="C83" t="str">
            <v>在职</v>
          </cell>
          <cell r="D83" t="str">
            <v>wendyzhao</v>
          </cell>
          <cell r="E83" t="str">
            <v>自营销售中心</v>
          </cell>
          <cell r="F83" t="str">
            <v>短剧组</v>
          </cell>
          <cell r="G83" t="str">
            <v/>
          </cell>
        </row>
        <row r="84">
          <cell r="A84" t="str">
            <v>陈旅智</v>
          </cell>
          <cell r="B84" t="str">
            <v>13128979887</v>
          </cell>
          <cell r="C84" t="str">
            <v>在职</v>
          </cell>
          <cell r="D84" t="str">
            <v>johnsonchen</v>
          </cell>
          <cell r="E84" t="str">
            <v>自营销售中心</v>
          </cell>
          <cell r="F84" t="str">
            <v>业务经理组</v>
          </cell>
          <cell r="G84" t="str">
            <v/>
          </cell>
        </row>
        <row r="85">
          <cell r="A85" t="str">
            <v>陈籽健</v>
          </cell>
          <cell r="B85" t="str">
            <v>13662218179</v>
          </cell>
          <cell r="C85" t="str">
            <v>在职</v>
          </cell>
          <cell r="D85" t="str">
            <v>zijianchen</v>
          </cell>
          <cell r="E85" t="str">
            <v>品牌运营中心</v>
          </cell>
          <cell r="F85" t="str">
            <v>社群运营组</v>
          </cell>
          <cell r="G85" t="str">
            <v/>
          </cell>
        </row>
        <row r="86">
          <cell r="A86" t="str">
            <v>韦翔</v>
          </cell>
          <cell r="B86" t="str">
            <v>13149904345</v>
          </cell>
          <cell r="C86" t="str">
            <v>在职</v>
          </cell>
          <cell r="D86" t="str">
            <v>xiangwei</v>
          </cell>
          <cell r="E86" t="str">
            <v>KA销售中心</v>
          </cell>
          <cell r="F86" t="str">
            <v>渠道合作组-华南区</v>
          </cell>
          <cell r="G86" t="str">
            <v/>
          </cell>
        </row>
        <row r="87">
          <cell r="A87" t="str">
            <v>苏雪娇</v>
          </cell>
          <cell r="B87" t="str">
            <v>15992595465</v>
          </cell>
          <cell r="C87" t="str">
            <v>在职</v>
          </cell>
          <cell r="D87" t="str">
            <v>pandasu</v>
          </cell>
          <cell r="E87" t="str">
            <v>运营支持中心</v>
          </cell>
          <cell r="F87" t="str">
            <v>新零售服务二组</v>
          </cell>
          <cell r="G87" t="str">
            <v/>
          </cell>
        </row>
        <row r="88">
          <cell r="A88" t="str">
            <v>赵赞龙</v>
          </cell>
          <cell r="B88" t="str">
            <v>13611183389</v>
          </cell>
          <cell r="C88" t="str">
            <v>在职</v>
          </cell>
          <cell r="D88" t="str">
            <v>robinzhao</v>
          </cell>
          <cell r="E88" t="str">
            <v>KA销售中心</v>
          </cell>
          <cell r="F88" t="str">
            <v>KA销售组</v>
          </cell>
          <cell r="G88" t="str">
            <v/>
          </cell>
        </row>
        <row r="89">
          <cell r="A89" t="str">
            <v>韦欢迎</v>
          </cell>
          <cell r="B89" t="str">
            <v>18813086281</v>
          </cell>
          <cell r="C89" t="str">
            <v>在职</v>
          </cell>
          <cell r="D89" t="str">
            <v>baldwinwei</v>
          </cell>
          <cell r="E89" t="str">
            <v>KA销售中心</v>
          </cell>
          <cell r="F89" t="str">
            <v>渠道合作组-华北区</v>
          </cell>
          <cell r="G89" t="str">
            <v/>
          </cell>
        </row>
        <row r="90">
          <cell r="A90" t="str">
            <v>鞠爽</v>
          </cell>
          <cell r="B90" t="str">
            <v>18600591894</v>
          </cell>
          <cell r="C90" t="str">
            <v>在职</v>
          </cell>
          <cell r="D90" t="str">
            <v>andyju</v>
          </cell>
          <cell r="E90" t="str">
            <v>KA销售中心</v>
          </cell>
          <cell r="F90" t="str">
            <v>渠道服务支持组</v>
          </cell>
          <cell r="G90" t="str">
            <v/>
          </cell>
        </row>
        <row r="91">
          <cell r="A91" t="str">
            <v>苏晓亮</v>
          </cell>
          <cell r="B91" t="str">
            <v>18519001563</v>
          </cell>
          <cell r="C91" t="str">
            <v>在职</v>
          </cell>
          <cell r="D91" t="str">
            <v>stevensu</v>
          </cell>
          <cell r="E91" t="str">
            <v>KA销售中心</v>
          </cell>
          <cell r="F91" t="str">
            <v>渠道合作组-华北区</v>
          </cell>
          <cell r="G91" t="str">
            <v/>
          </cell>
        </row>
        <row r="92">
          <cell r="A92" t="str">
            <v>林晓青</v>
          </cell>
          <cell r="B92" t="str">
            <v>15118180028</v>
          </cell>
          <cell r="C92" t="str">
            <v>在职</v>
          </cell>
          <cell r="D92" t="str">
            <v>Yumilin</v>
          </cell>
          <cell r="E92" t="str">
            <v>自营销售中心</v>
          </cell>
          <cell r="F92" t="str">
            <v>LA服务组</v>
          </cell>
          <cell r="G92" t="str">
            <v/>
          </cell>
        </row>
        <row r="93">
          <cell r="A93" t="str">
            <v>仝乐</v>
          </cell>
          <cell r="B93" t="str">
            <v>15711400520</v>
          </cell>
          <cell r="C93" t="str">
            <v>在职</v>
          </cell>
          <cell r="D93" t="str">
            <v>ashetong</v>
          </cell>
          <cell r="E93" t="str">
            <v>KA销售中心</v>
          </cell>
          <cell r="F93" t="str">
            <v>KA销售组</v>
          </cell>
          <cell r="G93" t="str">
            <v/>
          </cell>
        </row>
        <row r="94">
          <cell r="A94" t="str">
            <v>廖晓怡</v>
          </cell>
          <cell r="B94" t="str">
            <v>18588227293</v>
          </cell>
          <cell r="C94" t="str">
            <v>在职</v>
          </cell>
          <cell r="D94" t="str">
            <v>KarlieLiao</v>
          </cell>
          <cell r="E94" t="str">
            <v>学习产品中心</v>
          </cell>
          <cell r="F94" t="str">
            <v>学习产品组</v>
          </cell>
          <cell r="G94" t="str">
            <v/>
          </cell>
        </row>
        <row r="95">
          <cell r="A95" t="str">
            <v>何芳喜</v>
          </cell>
          <cell r="B95" t="str">
            <v>18175855836</v>
          </cell>
          <cell r="C95" t="str">
            <v>在职</v>
          </cell>
          <cell r="D95" t="str">
            <v>PeteHe</v>
          </cell>
          <cell r="E95" t="str">
            <v>自营销售中心</v>
          </cell>
          <cell r="F95" t="str">
            <v>业务经理组</v>
          </cell>
          <cell r="G95" t="str">
            <v/>
          </cell>
        </row>
        <row r="96">
          <cell r="A96" t="str">
            <v>兰康</v>
          </cell>
          <cell r="B96" t="str">
            <v>18218815070</v>
          </cell>
          <cell r="C96" t="str">
            <v>在职</v>
          </cell>
          <cell r="D96" t="str">
            <v>Brianlan</v>
          </cell>
          <cell r="E96" t="str">
            <v>生态运营中心</v>
          </cell>
          <cell r="F96" t="str">
            <v>KA运营组</v>
          </cell>
          <cell r="G96" t="str">
            <v/>
          </cell>
        </row>
        <row r="97">
          <cell r="A97" t="str">
            <v>胡雅蓓</v>
          </cell>
          <cell r="B97" t="str">
            <v>13502989102</v>
          </cell>
          <cell r="C97" t="str">
            <v>在职</v>
          </cell>
          <cell r="D97" t="str">
            <v>huhu</v>
          </cell>
          <cell r="E97" t="str">
            <v>中心负责人</v>
          </cell>
          <cell r="F97" t="str">
            <v/>
          </cell>
          <cell r="G97" t="str">
            <v/>
          </cell>
        </row>
        <row r="98">
          <cell r="A98" t="str">
            <v>张继章</v>
          </cell>
          <cell r="B98" t="str">
            <v>13823302724</v>
          </cell>
          <cell r="C98" t="str">
            <v>在职</v>
          </cell>
          <cell r="D98" t="str">
            <v>reesezhang</v>
          </cell>
          <cell r="E98" t="str">
            <v>基础平台中心</v>
          </cell>
          <cell r="F98" t="str">
            <v>出海研发组</v>
          </cell>
          <cell r="G98" t="str">
            <v/>
          </cell>
        </row>
        <row r="99">
          <cell r="A99" t="str">
            <v>毛江湖</v>
          </cell>
          <cell r="B99" t="str">
            <v>18603053878</v>
          </cell>
          <cell r="C99" t="str">
            <v>在职</v>
          </cell>
          <cell r="D99" t="str">
            <v>alexmao</v>
          </cell>
          <cell r="E99" t="str">
            <v>自营销售中心</v>
          </cell>
          <cell r="F99" t="str">
            <v>业务经理组</v>
          </cell>
          <cell r="G99" t="str">
            <v/>
          </cell>
        </row>
        <row r="100">
          <cell r="A100" t="str">
            <v>鲁亚</v>
          </cell>
          <cell r="B100" t="str">
            <v>15013661826</v>
          </cell>
          <cell r="C100" t="str">
            <v>在职</v>
          </cell>
          <cell r="D100" t="str">
            <v>liyalu</v>
          </cell>
          <cell r="E100" t="str">
            <v>综合职能中心</v>
          </cell>
          <cell r="F100" t="str">
            <v>人力组</v>
          </cell>
          <cell r="G100" t="str">
            <v>薪酬绩效组</v>
          </cell>
        </row>
        <row r="101">
          <cell r="A101" t="str">
            <v>冷鹏飞</v>
          </cell>
          <cell r="B101" t="str">
            <v>18816821590</v>
          </cell>
          <cell r="C101" t="str">
            <v>在职</v>
          </cell>
          <cell r="D101" t="str">
            <v>lydialeng</v>
          </cell>
          <cell r="E101" t="str">
            <v>综合职能中心</v>
          </cell>
          <cell r="F101" t="str">
            <v>行政组</v>
          </cell>
          <cell r="G101" t="str">
            <v/>
          </cell>
        </row>
        <row r="102">
          <cell r="A102" t="str">
            <v>赵丽娜</v>
          </cell>
          <cell r="B102" t="str">
            <v>15622884255</v>
          </cell>
          <cell r="C102" t="str">
            <v>在职</v>
          </cell>
          <cell r="D102" t="str">
            <v>helayelzhao</v>
          </cell>
          <cell r="E102" t="str">
            <v>基础平台中心</v>
          </cell>
          <cell r="F102" t="str">
            <v>测试运维组</v>
          </cell>
          <cell r="G102" t="str">
            <v>教培测试组</v>
          </cell>
        </row>
        <row r="103">
          <cell r="A103" t="str">
            <v>胡修孰</v>
          </cell>
          <cell r="B103" t="str">
            <v>13823550756</v>
          </cell>
          <cell r="C103" t="str">
            <v>在职</v>
          </cell>
          <cell r="D103" t="str">
            <v>billhu</v>
          </cell>
          <cell r="E103" t="str">
            <v>直播平台中心</v>
          </cell>
          <cell r="F103" t="str">
            <v>直播产品组</v>
          </cell>
          <cell r="G103" t="str">
            <v/>
          </cell>
        </row>
        <row r="104">
          <cell r="A104" t="str">
            <v>胡彩霞</v>
          </cell>
          <cell r="B104" t="str">
            <v>13631639052</v>
          </cell>
          <cell r="C104" t="str">
            <v>在职</v>
          </cell>
          <cell r="D104" t="str">
            <v>jamiehu</v>
          </cell>
          <cell r="E104" t="str">
            <v>战略投资中心</v>
          </cell>
          <cell r="F104" t="str">
            <v>风控组</v>
          </cell>
          <cell r="G104" t="str">
            <v/>
          </cell>
        </row>
        <row r="105">
          <cell r="A105" t="str">
            <v>赖家豪</v>
          </cell>
          <cell r="B105" t="str">
            <v>15219494885</v>
          </cell>
          <cell r="C105" t="str">
            <v>在职</v>
          </cell>
          <cell r="D105" t="str">
            <v>rayvenlai</v>
          </cell>
          <cell r="E105" t="str">
            <v>品牌运营中心</v>
          </cell>
          <cell r="F105" t="str">
            <v>教练联盟组</v>
          </cell>
          <cell r="G105" t="str">
            <v/>
          </cell>
        </row>
        <row r="106">
          <cell r="A106" t="str">
            <v>黄彩霞</v>
          </cell>
          <cell r="B106" t="str">
            <v>18923455609</v>
          </cell>
          <cell r="C106" t="str">
            <v>在职</v>
          </cell>
          <cell r="D106" t="str">
            <v>nancyhuang</v>
          </cell>
          <cell r="E106" t="str">
            <v>产品运营中心</v>
          </cell>
          <cell r="F106" t="str">
            <v>客户服务组</v>
          </cell>
          <cell r="G106" t="str">
            <v>基础管家一组</v>
          </cell>
        </row>
        <row r="107">
          <cell r="A107" t="str">
            <v>于洋</v>
          </cell>
          <cell r="B107" t="str">
            <v>15731402250</v>
          </cell>
          <cell r="C107" t="str">
            <v>在职</v>
          </cell>
          <cell r="D107" t="str">
            <v>owenyu</v>
          </cell>
          <cell r="E107" t="str">
            <v>KA销售中心</v>
          </cell>
          <cell r="F107" t="str">
            <v>渠道合作组-华北区</v>
          </cell>
          <cell r="G107" t="str">
            <v/>
          </cell>
        </row>
        <row r="108">
          <cell r="A108" t="str">
            <v>梁锦添</v>
          </cell>
          <cell r="B108" t="str">
            <v>13686824028</v>
          </cell>
          <cell r="C108" t="str">
            <v>在职</v>
          </cell>
          <cell r="D108" t="str">
            <v>amosliang</v>
          </cell>
          <cell r="E108" t="str">
            <v>企培产品中心</v>
          </cell>
          <cell r="F108" t="str">
            <v>客户组</v>
          </cell>
          <cell r="G108" t="str">
            <v/>
          </cell>
        </row>
        <row r="109">
          <cell r="A109" t="str">
            <v>张家硕</v>
          </cell>
          <cell r="B109" t="str">
            <v>13049353701</v>
          </cell>
          <cell r="C109" t="str">
            <v>在职</v>
          </cell>
          <cell r="D109" t="str">
            <v>surezhang</v>
          </cell>
          <cell r="E109" t="str">
            <v>直播产品中心</v>
          </cell>
          <cell r="F109" t="str">
            <v>前端组</v>
          </cell>
          <cell r="G109" t="str">
            <v/>
          </cell>
        </row>
        <row r="110">
          <cell r="A110" t="str">
            <v>杨凯钿</v>
          </cell>
          <cell r="B110" t="str">
            <v>15989321377</v>
          </cell>
          <cell r="C110" t="str">
            <v>在职</v>
          </cell>
          <cell r="D110" t="str">
            <v>kevinyang</v>
          </cell>
          <cell r="E110" t="str">
            <v>直播平台中心</v>
          </cell>
          <cell r="F110" t="str">
            <v>直播后台开发组</v>
          </cell>
          <cell r="G110" t="str">
            <v/>
          </cell>
        </row>
        <row r="111">
          <cell r="A111" t="str">
            <v>何宗蕊</v>
          </cell>
          <cell r="B111" t="str">
            <v>17665267900</v>
          </cell>
          <cell r="C111" t="str">
            <v>在职</v>
          </cell>
          <cell r="D111" t="str">
            <v>zongruihe</v>
          </cell>
          <cell r="E111" t="str">
            <v>KA销售中心</v>
          </cell>
          <cell r="F111" t="str">
            <v>渠道合作组-西南区</v>
          </cell>
          <cell r="G111" t="str">
            <v/>
          </cell>
        </row>
        <row r="112">
          <cell r="A112" t="str">
            <v>吴惜青</v>
          </cell>
          <cell r="B112" t="str">
            <v>13622929931</v>
          </cell>
          <cell r="C112" t="str">
            <v>在职</v>
          </cell>
          <cell r="D112" t="str">
            <v>vincywu</v>
          </cell>
          <cell r="E112" t="str">
            <v>自营销售中心</v>
          </cell>
          <cell r="F112" t="str">
            <v/>
          </cell>
          <cell r="G112" t="str">
            <v/>
          </cell>
        </row>
        <row r="113">
          <cell r="A113" t="str">
            <v>王悦祺</v>
          </cell>
          <cell r="B113" t="str">
            <v>18801312952</v>
          </cell>
          <cell r="C113" t="str">
            <v>在职</v>
          </cell>
          <cell r="D113" t="str">
            <v>vickywang</v>
          </cell>
          <cell r="E113" t="str">
            <v>生态运营中心</v>
          </cell>
          <cell r="F113" t="str">
            <v>KA运营组</v>
          </cell>
          <cell r="G113" t="str">
            <v/>
          </cell>
        </row>
        <row r="114">
          <cell r="A114" t="str">
            <v>王彦文</v>
          </cell>
          <cell r="B114" t="str">
            <v>18923802232</v>
          </cell>
          <cell r="C114" t="str">
            <v>在职</v>
          </cell>
          <cell r="D114" t="str">
            <v>vvwang</v>
          </cell>
          <cell r="E114" t="str">
            <v>生态运营中心</v>
          </cell>
          <cell r="F114" t="str">
            <v>生态行业运营组</v>
          </cell>
          <cell r="G114" t="str">
            <v/>
          </cell>
        </row>
        <row r="115">
          <cell r="A115" t="str">
            <v>左敏歌</v>
          </cell>
          <cell r="B115" t="str">
            <v>15818711428</v>
          </cell>
          <cell r="C115" t="str">
            <v>在职</v>
          </cell>
          <cell r="D115" t="str">
            <v>jessicazuo</v>
          </cell>
          <cell r="E115" t="str">
            <v>中心负责人</v>
          </cell>
          <cell r="F115" t="str">
            <v/>
          </cell>
          <cell r="G115" t="str">
            <v/>
          </cell>
        </row>
        <row r="116">
          <cell r="A116" t="str">
            <v>温智浩</v>
          </cell>
          <cell r="B116" t="str">
            <v>13710966554</v>
          </cell>
          <cell r="C116" t="str">
            <v>在职</v>
          </cell>
          <cell r="D116" t="str">
            <v>rainbowwen</v>
          </cell>
          <cell r="E116" t="str">
            <v>运营支持中心</v>
          </cell>
          <cell r="F116" t="str">
            <v>新零售服务一组</v>
          </cell>
          <cell r="G116" t="str">
            <v/>
          </cell>
        </row>
        <row r="117">
          <cell r="A117" t="str">
            <v>冯春珺</v>
          </cell>
          <cell r="B117" t="str">
            <v>13510275265</v>
          </cell>
          <cell r="C117" t="str">
            <v>在职</v>
          </cell>
          <cell r="D117" t="str">
            <v>jenniferfeng</v>
          </cell>
          <cell r="E117" t="str">
            <v>综合职能中心</v>
          </cell>
          <cell r="F117" t="str">
            <v>人力组</v>
          </cell>
          <cell r="G117" t="str">
            <v>薪酬绩效组</v>
          </cell>
        </row>
        <row r="118">
          <cell r="A118" t="str">
            <v>归颖琳</v>
          </cell>
          <cell r="B118" t="str">
            <v>15278747344</v>
          </cell>
          <cell r="C118" t="str">
            <v>在职</v>
          </cell>
          <cell r="D118" t="str">
            <v>ayeayegui</v>
          </cell>
          <cell r="E118" t="str">
            <v>综合职能中心</v>
          </cell>
          <cell r="F118" t="str">
            <v>行政组</v>
          </cell>
          <cell r="G118" t="str">
            <v/>
          </cell>
        </row>
        <row r="119">
          <cell r="A119" t="str">
            <v>黄建辉</v>
          </cell>
          <cell r="B119" t="str">
            <v>18307671030</v>
          </cell>
          <cell r="C119" t="str">
            <v>在职</v>
          </cell>
          <cell r="D119" t="str">
            <v>kkhuang</v>
          </cell>
          <cell r="E119" t="str">
            <v>产品运营中心</v>
          </cell>
          <cell r="F119" t="str">
            <v>客户服务组</v>
          </cell>
          <cell r="G119" t="str">
            <v>投诉热线组</v>
          </cell>
        </row>
        <row r="120">
          <cell r="A120" t="str">
            <v>谢芬燕</v>
          </cell>
          <cell r="B120" t="str">
            <v>18718144821</v>
          </cell>
          <cell r="C120" t="str">
            <v>在职</v>
          </cell>
          <cell r="D120" t="str">
            <v>fenyanxie</v>
          </cell>
          <cell r="E120" t="str">
            <v>自营销售中心</v>
          </cell>
          <cell r="F120" t="str">
            <v>SDR二组</v>
          </cell>
          <cell r="G120" t="str">
            <v/>
          </cell>
        </row>
        <row r="121">
          <cell r="A121" t="str">
            <v>朱素和</v>
          </cell>
          <cell r="B121" t="str">
            <v>15099905928</v>
          </cell>
          <cell r="C121" t="str">
            <v>在职</v>
          </cell>
          <cell r="D121" t="str">
            <v>samanthazhu</v>
          </cell>
          <cell r="E121" t="str">
            <v>生态运营中心</v>
          </cell>
          <cell r="F121" t="str">
            <v>生态行业运营组</v>
          </cell>
          <cell r="G121" t="str">
            <v/>
          </cell>
        </row>
        <row r="122">
          <cell r="A122" t="str">
            <v>成柳见</v>
          </cell>
          <cell r="B122" t="str">
            <v>13692113612</v>
          </cell>
          <cell r="C122" t="str">
            <v>在职</v>
          </cell>
          <cell r="D122" t="str">
            <v>dylancheng</v>
          </cell>
          <cell r="E122" t="str">
            <v>KA销售中心</v>
          </cell>
          <cell r="F122" t="str">
            <v>渠道合作组-华南区</v>
          </cell>
          <cell r="G122" t="str">
            <v/>
          </cell>
        </row>
        <row r="123">
          <cell r="A123" t="str">
            <v>黄根华</v>
          </cell>
          <cell r="B123" t="str">
            <v>13430522562</v>
          </cell>
          <cell r="C123" t="str">
            <v>在职</v>
          </cell>
          <cell r="D123" t="str">
            <v>vakeyhuang</v>
          </cell>
          <cell r="E123" t="str">
            <v>产品运营中心</v>
          </cell>
          <cell r="F123" t="str">
            <v>客户服务组</v>
          </cell>
          <cell r="G123" t="str">
            <v>投诉热线组</v>
          </cell>
        </row>
        <row r="124">
          <cell r="A124" t="str">
            <v>宋林</v>
          </cell>
          <cell r="B124" t="str">
            <v>13045306888</v>
          </cell>
          <cell r="C124" t="str">
            <v>在职</v>
          </cell>
          <cell r="D124" t="str">
            <v>mumusong</v>
          </cell>
          <cell r="E124" t="str">
            <v>品牌运营中心</v>
          </cell>
          <cell r="F124" t="str">
            <v>教练联盟组</v>
          </cell>
          <cell r="G124" t="str">
            <v/>
          </cell>
        </row>
        <row r="125">
          <cell r="A125" t="str">
            <v>翁朗城</v>
          </cell>
          <cell r="B125" t="str">
            <v>17666489712</v>
          </cell>
          <cell r="C125" t="str">
            <v>在职</v>
          </cell>
          <cell r="D125" t="str">
            <v>colinweng</v>
          </cell>
          <cell r="E125" t="str">
            <v>品牌运营中心</v>
          </cell>
          <cell r="F125" t="str">
            <v>直播运营组</v>
          </cell>
          <cell r="G125" t="str">
            <v/>
          </cell>
        </row>
        <row r="126">
          <cell r="A126" t="str">
            <v>唐秀云</v>
          </cell>
          <cell r="B126" t="str">
            <v>17722472160</v>
          </cell>
          <cell r="C126" t="str">
            <v>在职</v>
          </cell>
          <cell r="D126" t="str">
            <v>julytang</v>
          </cell>
          <cell r="E126" t="str">
            <v>产品运营中心</v>
          </cell>
          <cell r="F126" t="str">
            <v>客户服务组</v>
          </cell>
          <cell r="G126" t="str">
            <v>直播电商专项组</v>
          </cell>
        </row>
        <row r="127">
          <cell r="A127" t="str">
            <v>高军</v>
          </cell>
          <cell r="B127" t="str">
            <v>17666066636</v>
          </cell>
          <cell r="C127" t="str">
            <v>在职</v>
          </cell>
          <cell r="D127" t="str">
            <v>garygao</v>
          </cell>
          <cell r="E127" t="str">
            <v>自营销售中心</v>
          </cell>
          <cell r="F127" t="str">
            <v>业务经理组</v>
          </cell>
          <cell r="G127" t="str">
            <v/>
          </cell>
        </row>
        <row r="128">
          <cell r="A128" t="str">
            <v>卓嘉宾</v>
          </cell>
          <cell r="B128" t="str">
            <v>13066867114</v>
          </cell>
          <cell r="C128" t="str">
            <v>在职</v>
          </cell>
          <cell r="D128" t="str">
            <v>vitaszhuo</v>
          </cell>
          <cell r="E128" t="str">
            <v>学习产品中心</v>
          </cell>
          <cell r="F128" t="str">
            <v>学习平台组</v>
          </cell>
          <cell r="G128" t="str">
            <v/>
          </cell>
        </row>
        <row r="129">
          <cell r="A129" t="str">
            <v>陈依薰</v>
          </cell>
          <cell r="B129" t="str">
            <v>18218140790</v>
          </cell>
          <cell r="C129" t="str">
            <v>在职</v>
          </cell>
          <cell r="D129" t="str">
            <v>yixunchen</v>
          </cell>
          <cell r="E129" t="str">
            <v>产品运营中心</v>
          </cell>
          <cell r="F129" t="str">
            <v>客户服务组</v>
          </cell>
          <cell r="G129" t="str">
            <v>直播电商专项组</v>
          </cell>
        </row>
        <row r="130">
          <cell r="A130" t="str">
            <v>罗安琪</v>
          </cell>
          <cell r="B130" t="str">
            <v>13437658904</v>
          </cell>
          <cell r="C130" t="str">
            <v>在职</v>
          </cell>
          <cell r="D130" t="str">
            <v>anqiluo</v>
          </cell>
          <cell r="E130" t="str">
            <v>产品运营中心</v>
          </cell>
          <cell r="F130" t="str">
            <v>客户服务组</v>
          </cell>
          <cell r="G130" t="str">
            <v>投诉热线组</v>
          </cell>
        </row>
        <row r="131">
          <cell r="A131" t="str">
            <v>杨伟庭</v>
          </cell>
          <cell r="B131" t="str">
            <v>18802670839</v>
          </cell>
          <cell r="C131" t="str">
            <v>在职</v>
          </cell>
          <cell r="D131" t="str">
            <v>youngyang</v>
          </cell>
          <cell r="E131" t="str">
            <v>产品运营中心</v>
          </cell>
          <cell r="F131" t="str">
            <v>客户服务组</v>
          </cell>
          <cell r="G131" t="str">
            <v>基础管家二组</v>
          </cell>
        </row>
        <row r="132">
          <cell r="A132" t="str">
            <v>倪伟凯</v>
          </cell>
          <cell r="B132" t="str">
            <v>13590239392</v>
          </cell>
          <cell r="C132" t="str">
            <v>在职</v>
          </cell>
          <cell r="D132" t="str">
            <v>kayni</v>
          </cell>
          <cell r="E132" t="str">
            <v>自营销售中心</v>
          </cell>
          <cell r="F132" t="str">
            <v>LA服务组</v>
          </cell>
          <cell r="G132" t="str">
            <v/>
          </cell>
        </row>
        <row r="133">
          <cell r="A133" t="str">
            <v>梁吴胜</v>
          </cell>
          <cell r="B133" t="str">
            <v>15177187660</v>
          </cell>
          <cell r="C133" t="str">
            <v>在职</v>
          </cell>
          <cell r="D133" t="str">
            <v>jackliang</v>
          </cell>
          <cell r="E133" t="str">
            <v>企培产品中心</v>
          </cell>
          <cell r="F133" t="str">
            <v>客户组</v>
          </cell>
          <cell r="G133" t="str">
            <v/>
          </cell>
        </row>
        <row r="134">
          <cell r="A134" t="str">
            <v>陈逸凯</v>
          </cell>
          <cell r="B134" t="str">
            <v>13025691791</v>
          </cell>
          <cell r="C134" t="str">
            <v>在职</v>
          </cell>
          <cell r="D134" t="str">
            <v>yikaichen</v>
          </cell>
          <cell r="E134" t="str">
            <v>运营支持中心</v>
          </cell>
          <cell r="F134" t="str">
            <v>新零售服务一组</v>
          </cell>
          <cell r="G134" t="str">
            <v/>
          </cell>
        </row>
        <row r="135">
          <cell r="A135" t="str">
            <v>王涛</v>
          </cell>
          <cell r="B135" t="str">
            <v>15216246079</v>
          </cell>
          <cell r="C135" t="str">
            <v>在职</v>
          </cell>
          <cell r="D135" t="str">
            <v>wangtao</v>
          </cell>
          <cell r="E135" t="str">
            <v>品牌运营中心</v>
          </cell>
          <cell r="F135" t="str">
            <v>训练营运营组</v>
          </cell>
          <cell r="G135" t="str">
            <v>售后训练营组</v>
          </cell>
        </row>
        <row r="136">
          <cell r="A136" t="str">
            <v>邹浩杰</v>
          </cell>
          <cell r="B136" t="str">
            <v>13434485638</v>
          </cell>
          <cell r="C136" t="str">
            <v>在职</v>
          </cell>
          <cell r="D136" t="str">
            <v>jayzou</v>
          </cell>
          <cell r="E136" t="str">
            <v>自营销售中心</v>
          </cell>
          <cell r="F136" t="str">
            <v>LA服务组</v>
          </cell>
          <cell r="G136" t="str">
            <v/>
          </cell>
        </row>
        <row r="137">
          <cell r="A137" t="str">
            <v>郭万伟</v>
          </cell>
          <cell r="B137" t="str">
            <v>18565818016</v>
          </cell>
          <cell r="C137" t="str">
            <v>在职</v>
          </cell>
          <cell r="D137" t="str">
            <v>wanweiguo</v>
          </cell>
          <cell r="E137" t="str">
            <v>产品运营中心</v>
          </cell>
          <cell r="F137" t="str">
            <v>客户服务组</v>
          </cell>
          <cell r="G137" t="str">
            <v>综合课程专项组</v>
          </cell>
        </row>
        <row r="138">
          <cell r="A138" t="str">
            <v>郑锦涛</v>
          </cell>
          <cell r="B138" t="str">
            <v>15818362202</v>
          </cell>
          <cell r="C138" t="str">
            <v>在职</v>
          </cell>
          <cell r="D138" t="str">
            <v>kimzheng</v>
          </cell>
          <cell r="E138" t="str">
            <v>电商产品中心</v>
          </cell>
          <cell r="F138" t="str">
            <v>电商后台一组</v>
          </cell>
          <cell r="G138" t="str">
            <v/>
          </cell>
        </row>
        <row r="139">
          <cell r="A139" t="str">
            <v>邱淑欣</v>
          </cell>
          <cell r="B139" t="str">
            <v>13425162943</v>
          </cell>
          <cell r="C139" t="str">
            <v>在职</v>
          </cell>
          <cell r="D139" t="str">
            <v>shellyqiu</v>
          </cell>
          <cell r="E139" t="str">
            <v>生态运营中心</v>
          </cell>
          <cell r="F139" t="str">
            <v>生态行业运营组</v>
          </cell>
          <cell r="G139" t="str">
            <v/>
          </cell>
        </row>
        <row r="140">
          <cell r="A140" t="str">
            <v>卢莹</v>
          </cell>
          <cell r="B140" t="str">
            <v>13732996884</v>
          </cell>
          <cell r="C140" t="str">
            <v>在职</v>
          </cell>
          <cell r="D140" t="str">
            <v>yinglu</v>
          </cell>
          <cell r="E140" t="str">
            <v>运营支持中心</v>
          </cell>
          <cell r="F140" t="str">
            <v>新零售服务一组</v>
          </cell>
          <cell r="G140" t="str">
            <v/>
          </cell>
        </row>
        <row r="141">
          <cell r="A141" t="str">
            <v>吴锦鸿</v>
          </cell>
          <cell r="B141" t="str">
            <v>15989391223</v>
          </cell>
          <cell r="C141" t="str">
            <v>在职</v>
          </cell>
          <cell r="D141" t="str">
            <v>johnwu</v>
          </cell>
          <cell r="E141" t="str">
            <v>产品运营中心</v>
          </cell>
          <cell r="F141" t="str">
            <v>客户服务组</v>
          </cell>
          <cell r="G141" t="str">
            <v>直播电商专项组</v>
          </cell>
        </row>
        <row r="142">
          <cell r="A142" t="str">
            <v>蔡慧</v>
          </cell>
          <cell r="B142" t="str">
            <v>18570645889</v>
          </cell>
          <cell r="C142" t="str">
            <v>在职</v>
          </cell>
          <cell r="D142" t="str">
            <v>cheerycai</v>
          </cell>
          <cell r="E142" t="str">
            <v>产品运营中心</v>
          </cell>
          <cell r="F142" t="str">
            <v>客户服务组</v>
          </cell>
          <cell r="G142" t="str">
            <v>投诉热线组</v>
          </cell>
        </row>
        <row r="143">
          <cell r="A143" t="str">
            <v>孙仁芳</v>
          </cell>
          <cell r="B143" t="str">
            <v>13534050371</v>
          </cell>
          <cell r="C143" t="str">
            <v>在职</v>
          </cell>
          <cell r="D143" t="str">
            <v>neilsun</v>
          </cell>
          <cell r="E143" t="str">
            <v>基础平台中心</v>
          </cell>
          <cell r="F143" t="str">
            <v>测试运维组</v>
          </cell>
          <cell r="G143" t="str">
            <v>平台测试组</v>
          </cell>
        </row>
        <row r="144">
          <cell r="A144" t="str">
            <v>周东武</v>
          </cell>
          <cell r="B144" t="str">
            <v>18824347561</v>
          </cell>
          <cell r="C144" t="str">
            <v>在职</v>
          </cell>
          <cell r="D144" t="str">
            <v>wenanazhou</v>
          </cell>
          <cell r="E144" t="str">
            <v>自营销售中心</v>
          </cell>
          <cell r="F144" t="str">
            <v>业务经理组</v>
          </cell>
          <cell r="G144" t="str">
            <v/>
          </cell>
        </row>
        <row r="145">
          <cell r="A145" t="str">
            <v>于腾飞</v>
          </cell>
          <cell r="B145" t="str">
            <v>15311485535</v>
          </cell>
          <cell r="C145" t="str">
            <v>在职</v>
          </cell>
          <cell r="D145" t="str">
            <v>allenyu</v>
          </cell>
          <cell r="E145" t="str">
            <v>KA销售中心</v>
          </cell>
          <cell r="F145" t="str">
            <v>KA销售组</v>
          </cell>
          <cell r="G145" t="str">
            <v/>
          </cell>
        </row>
        <row r="146">
          <cell r="A146" t="str">
            <v>吴以聪</v>
          </cell>
          <cell r="B146" t="str">
            <v>13823706667</v>
          </cell>
          <cell r="C146" t="str">
            <v>在职</v>
          </cell>
          <cell r="D146" t="str">
            <v>yicongwu</v>
          </cell>
          <cell r="E146" t="str">
            <v>品牌运营中心</v>
          </cell>
          <cell r="F146" t="str">
            <v>直播运营组</v>
          </cell>
          <cell r="G146" t="str">
            <v/>
          </cell>
        </row>
        <row r="147">
          <cell r="A147" t="str">
            <v>张政</v>
          </cell>
          <cell r="B147" t="str">
            <v>15147606157</v>
          </cell>
          <cell r="C147" t="str">
            <v>在职</v>
          </cell>
          <cell r="D147" t="str">
            <v>vinzhang</v>
          </cell>
          <cell r="E147" t="str">
            <v>自营销售中心</v>
          </cell>
          <cell r="F147" t="str">
            <v>LA销售组</v>
          </cell>
          <cell r="G147" t="str">
            <v>企服组</v>
          </cell>
        </row>
        <row r="148">
          <cell r="A148" t="str">
            <v>张伟</v>
          </cell>
          <cell r="B148" t="str">
            <v>18814459811</v>
          </cell>
          <cell r="C148" t="str">
            <v>在职</v>
          </cell>
          <cell r="D148" t="str">
            <v>andyzhang</v>
          </cell>
          <cell r="E148" t="str">
            <v>自营销售中心</v>
          </cell>
          <cell r="F148" t="str">
            <v>SDR二组</v>
          </cell>
          <cell r="G148" t="str">
            <v/>
          </cell>
        </row>
        <row r="149">
          <cell r="A149" t="str">
            <v>王娟</v>
          </cell>
          <cell r="B149" t="str">
            <v>15914158197</v>
          </cell>
          <cell r="C149" t="str">
            <v>在职</v>
          </cell>
          <cell r="D149" t="str">
            <v>wangjuan</v>
          </cell>
          <cell r="E149" t="str">
            <v>产品运营中心</v>
          </cell>
          <cell r="F149" t="str">
            <v>客户服务组</v>
          </cell>
          <cell r="G149" t="str">
            <v>综合课程专项组</v>
          </cell>
        </row>
        <row r="150">
          <cell r="A150" t="str">
            <v>潘增浩</v>
          </cell>
          <cell r="B150" t="str">
            <v>13922810596</v>
          </cell>
          <cell r="C150" t="str">
            <v>在职</v>
          </cell>
          <cell r="D150" t="str">
            <v>acepan</v>
          </cell>
          <cell r="E150" t="str">
            <v>产品运营中心</v>
          </cell>
          <cell r="F150" t="str">
            <v>客户服务组</v>
          </cell>
          <cell r="G150" t="str">
            <v>投诉热线组</v>
          </cell>
        </row>
        <row r="151">
          <cell r="A151" t="str">
            <v>罗淑瑜</v>
          </cell>
          <cell r="B151" t="str">
            <v>15889396553</v>
          </cell>
          <cell r="C151" t="str">
            <v>在职</v>
          </cell>
          <cell r="D151" t="str">
            <v>sunnyluo</v>
          </cell>
          <cell r="E151" t="str">
            <v>自营销售中心</v>
          </cell>
          <cell r="F151" t="str">
            <v>SDR二组</v>
          </cell>
          <cell r="G151" t="str">
            <v/>
          </cell>
        </row>
        <row r="152">
          <cell r="A152" t="str">
            <v>曾祥华</v>
          </cell>
          <cell r="B152" t="str">
            <v>18370857420</v>
          </cell>
          <cell r="C152" t="str">
            <v>在职</v>
          </cell>
          <cell r="D152" t="str">
            <v>ackerlyzeng</v>
          </cell>
          <cell r="E152" t="str">
            <v>数智平台中心</v>
          </cell>
          <cell r="F152" t="str">
            <v>数智前端组</v>
          </cell>
          <cell r="G152" t="str">
            <v/>
          </cell>
        </row>
        <row r="153">
          <cell r="A153" t="str">
            <v>张远智</v>
          </cell>
          <cell r="B153" t="str">
            <v>15626474757</v>
          </cell>
          <cell r="C153" t="str">
            <v>在职</v>
          </cell>
          <cell r="D153" t="str">
            <v>vincezhang</v>
          </cell>
          <cell r="E153" t="str">
            <v>学习产品中心</v>
          </cell>
          <cell r="F153" t="str">
            <v>课程业务组</v>
          </cell>
          <cell r="G153" t="str">
            <v/>
          </cell>
        </row>
        <row r="154">
          <cell r="A154" t="str">
            <v>孙阳</v>
          </cell>
          <cell r="B154" t="str">
            <v>13534254671</v>
          </cell>
          <cell r="C154" t="str">
            <v>在职</v>
          </cell>
          <cell r="D154" t="str">
            <v>yssun</v>
          </cell>
          <cell r="E154" t="str">
            <v>营销产品中心</v>
          </cell>
          <cell r="F154" t="str">
            <v>营销后台组</v>
          </cell>
          <cell r="G154" t="str">
            <v/>
          </cell>
        </row>
        <row r="155">
          <cell r="A155" t="str">
            <v>谷小萌</v>
          </cell>
          <cell r="B155" t="str">
            <v>18910206532</v>
          </cell>
          <cell r="C155" t="str">
            <v>在职</v>
          </cell>
          <cell r="D155" t="str">
            <v>mambagu</v>
          </cell>
          <cell r="E155" t="str">
            <v>KA销售中心</v>
          </cell>
          <cell r="F155" t="str">
            <v>渠道合作组-华北区</v>
          </cell>
          <cell r="G155" t="str">
            <v/>
          </cell>
        </row>
        <row r="156">
          <cell r="A156" t="str">
            <v>曾波</v>
          </cell>
          <cell r="B156" t="str">
            <v>13612892271</v>
          </cell>
          <cell r="C156" t="str">
            <v>在职</v>
          </cell>
          <cell r="D156" t="str">
            <v>terencezeng</v>
          </cell>
          <cell r="E156" t="str">
            <v>直播平台中心</v>
          </cell>
          <cell r="F156" t="str">
            <v>直播质量组</v>
          </cell>
          <cell r="G156" t="str">
            <v/>
          </cell>
        </row>
        <row r="157">
          <cell r="A157" t="str">
            <v>甘延娇</v>
          </cell>
          <cell r="B157" t="str">
            <v>18559594589</v>
          </cell>
          <cell r="C157" t="str">
            <v>在职</v>
          </cell>
          <cell r="D157" t="str">
            <v>andygan</v>
          </cell>
          <cell r="E157" t="str">
            <v>产品运营中心</v>
          </cell>
          <cell r="F157" t="str">
            <v>产品体验组</v>
          </cell>
          <cell r="G157" t="str">
            <v/>
          </cell>
        </row>
        <row r="158">
          <cell r="A158" t="str">
            <v>黄盛</v>
          </cell>
          <cell r="B158" t="str">
            <v>15116744578</v>
          </cell>
          <cell r="C158" t="str">
            <v>在职</v>
          </cell>
          <cell r="D158" t="str">
            <v>vincenthuang</v>
          </cell>
          <cell r="E158" t="str">
            <v>数智平台中心</v>
          </cell>
          <cell r="F158" t="str">
            <v>数据仓库组</v>
          </cell>
          <cell r="G158" t="str">
            <v/>
          </cell>
        </row>
        <row r="159">
          <cell r="A159" t="str">
            <v>谷祥涛</v>
          </cell>
          <cell r="B159" t="str">
            <v>15084967001</v>
          </cell>
          <cell r="C159" t="str">
            <v>在职</v>
          </cell>
          <cell r="D159" t="str">
            <v>temgu</v>
          </cell>
          <cell r="E159" t="str">
            <v>基础平台中心</v>
          </cell>
          <cell r="F159" t="str">
            <v>账号平台组</v>
          </cell>
          <cell r="G159" t="str">
            <v/>
          </cell>
        </row>
        <row r="160">
          <cell r="A160" t="str">
            <v>王朝阳</v>
          </cell>
          <cell r="B160" t="str">
            <v>18301442969</v>
          </cell>
          <cell r="C160" t="str">
            <v>在职</v>
          </cell>
          <cell r="D160" t="str">
            <v>andywang</v>
          </cell>
          <cell r="E160" t="str">
            <v>KA销售中心</v>
          </cell>
          <cell r="F160" t="str">
            <v>渠道合作组-西南区</v>
          </cell>
          <cell r="G160" t="str">
            <v/>
          </cell>
        </row>
        <row r="161">
          <cell r="A161" t="str">
            <v>张坤</v>
          </cell>
          <cell r="B161" t="str">
            <v>15201970063</v>
          </cell>
          <cell r="C161" t="str">
            <v>在职</v>
          </cell>
          <cell r="D161" t="str">
            <v>mikezhang</v>
          </cell>
          <cell r="E161" t="str">
            <v>自营销售中心</v>
          </cell>
          <cell r="F161" t="str">
            <v>LA销售组</v>
          </cell>
          <cell r="G161" t="str">
            <v>企服组</v>
          </cell>
        </row>
        <row r="162">
          <cell r="A162" t="str">
            <v>朱海娟</v>
          </cell>
          <cell r="B162" t="str">
            <v>13435828123</v>
          </cell>
          <cell r="C162" t="str">
            <v>在职</v>
          </cell>
          <cell r="D162" t="str">
            <v>juanzhu</v>
          </cell>
          <cell r="E162" t="str">
            <v>产品运营中心</v>
          </cell>
          <cell r="F162" t="str">
            <v>客户服务组</v>
          </cell>
          <cell r="G162" t="str">
            <v>基础管家一组</v>
          </cell>
        </row>
        <row r="163">
          <cell r="A163" t="str">
            <v>肖瑶</v>
          </cell>
          <cell r="B163" t="str">
            <v>15012903297</v>
          </cell>
          <cell r="C163" t="str">
            <v>在职</v>
          </cell>
          <cell r="D163" t="str">
            <v>michaelxiao</v>
          </cell>
          <cell r="E163" t="str">
            <v>品牌运营中心</v>
          </cell>
          <cell r="F163" t="str">
            <v>训练营运营组</v>
          </cell>
          <cell r="G163" t="str">
            <v>售前训练营组</v>
          </cell>
        </row>
        <row r="164">
          <cell r="A164" t="str">
            <v>廖世华</v>
          </cell>
          <cell r="B164" t="str">
            <v>15070745284</v>
          </cell>
          <cell r="C164" t="str">
            <v>在职</v>
          </cell>
          <cell r="D164" t="str">
            <v>jeffliao</v>
          </cell>
          <cell r="E164" t="str">
            <v>产品运营中心</v>
          </cell>
          <cell r="F164" t="str">
            <v>客户服务组</v>
          </cell>
          <cell r="G164" t="str">
            <v>基础管家一组</v>
          </cell>
        </row>
        <row r="165">
          <cell r="A165" t="str">
            <v>赵纪越</v>
          </cell>
          <cell r="B165" t="str">
            <v>15171502761</v>
          </cell>
          <cell r="C165" t="str">
            <v>在职</v>
          </cell>
          <cell r="D165" t="str">
            <v>iriszhao</v>
          </cell>
          <cell r="E165" t="str">
            <v>品牌运营中心</v>
          </cell>
          <cell r="F165" t="str">
            <v>训练营运营组</v>
          </cell>
          <cell r="G165" t="str">
            <v>售前训练营组</v>
          </cell>
        </row>
        <row r="166">
          <cell r="A166" t="str">
            <v>王文庄</v>
          </cell>
          <cell r="B166" t="str">
            <v>13794463361</v>
          </cell>
          <cell r="C166" t="str">
            <v>在职</v>
          </cell>
          <cell r="D166" t="str">
            <v>peelwang</v>
          </cell>
          <cell r="E166" t="str">
            <v>企培产品中心</v>
          </cell>
          <cell r="F166" t="str">
            <v>客户组</v>
          </cell>
          <cell r="G166" t="str">
            <v/>
          </cell>
        </row>
        <row r="167">
          <cell r="A167" t="str">
            <v>苗欢欢</v>
          </cell>
          <cell r="B167" t="str">
            <v>13418653863</v>
          </cell>
          <cell r="C167" t="str">
            <v>在职</v>
          </cell>
          <cell r="D167" t="str">
            <v>minimiao</v>
          </cell>
          <cell r="E167" t="str">
            <v>产品运营中心</v>
          </cell>
          <cell r="F167" t="str">
            <v>客户服务组</v>
          </cell>
          <cell r="G167" t="str">
            <v>基础管家二组</v>
          </cell>
        </row>
        <row r="168">
          <cell r="A168" t="str">
            <v>林燕燕</v>
          </cell>
          <cell r="B168" t="str">
            <v>15768476955</v>
          </cell>
          <cell r="C168" t="str">
            <v>在职</v>
          </cell>
          <cell r="D168" t="str">
            <v>heidilin</v>
          </cell>
          <cell r="E168" t="str">
            <v>产品运营中心</v>
          </cell>
          <cell r="F168" t="str">
            <v>客户服务组</v>
          </cell>
          <cell r="G168" t="str">
            <v>投诉热线组</v>
          </cell>
        </row>
        <row r="169">
          <cell r="A169" t="str">
            <v>刘桐花</v>
          </cell>
          <cell r="B169" t="str">
            <v>13760380359</v>
          </cell>
          <cell r="C169" t="str">
            <v>在职</v>
          </cell>
          <cell r="D169" t="str">
            <v>tonghualiu</v>
          </cell>
          <cell r="E169" t="str">
            <v>品牌运营中心</v>
          </cell>
          <cell r="F169" t="str">
            <v>社群运营组</v>
          </cell>
          <cell r="G169" t="str">
            <v/>
          </cell>
        </row>
        <row r="170">
          <cell r="A170" t="str">
            <v>方汝豪</v>
          </cell>
          <cell r="B170" t="str">
            <v>15112551704</v>
          </cell>
          <cell r="C170" t="str">
            <v>在职</v>
          </cell>
          <cell r="D170" t="str">
            <v>ruhaofang</v>
          </cell>
          <cell r="E170" t="str">
            <v>自营销售中心</v>
          </cell>
          <cell r="F170" t="str">
            <v>LA服务组</v>
          </cell>
          <cell r="G170" t="str">
            <v/>
          </cell>
        </row>
        <row r="171">
          <cell r="A171" t="str">
            <v>舒匡</v>
          </cell>
          <cell r="B171" t="str">
            <v>13352890530</v>
          </cell>
          <cell r="C171" t="str">
            <v>在职</v>
          </cell>
          <cell r="D171" t="str">
            <v>andyshu</v>
          </cell>
          <cell r="E171" t="str">
            <v>自营销售中心</v>
          </cell>
          <cell r="F171" t="str">
            <v>LA销售组</v>
          </cell>
          <cell r="G171" t="str">
            <v>金融组</v>
          </cell>
        </row>
        <row r="172">
          <cell r="A172" t="str">
            <v>董浩鹏</v>
          </cell>
          <cell r="B172" t="str">
            <v>18516185709</v>
          </cell>
          <cell r="C172" t="str">
            <v>在职</v>
          </cell>
          <cell r="D172" t="str">
            <v>hopedong</v>
          </cell>
          <cell r="E172" t="str">
            <v>基础平台中心</v>
          </cell>
          <cell r="F172" t="str">
            <v>测试运维组</v>
          </cell>
          <cell r="G172" t="str">
            <v>平台测试组</v>
          </cell>
        </row>
        <row r="173">
          <cell r="A173" t="str">
            <v>鲍凌星</v>
          </cell>
          <cell r="B173" t="str">
            <v>15070004838</v>
          </cell>
          <cell r="C173" t="str">
            <v>在职</v>
          </cell>
          <cell r="D173" t="str">
            <v>lingxingbao</v>
          </cell>
          <cell r="E173" t="str">
            <v>自营销售中心</v>
          </cell>
          <cell r="F173" t="str">
            <v>SDR二组</v>
          </cell>
          <cell r="G173" t="str">
            <v/>
          </cell>
        </row>
        <row r="174">
          <cell r="A174" t="str">
            <v>王辉</v>
          </cell>
          <cell r="B174" t="str">
            <v>18927413806</v>
          </cell>
          <cell r="C174" t="str">
            <v>在职</v>
          </cell>
          <cell r="D174" t="str">
            <v>joewang</v>
          </cell>
          <cell r="E174" t="str">
            <v>中心负责人</v>
          </cell>
          <cell r="F174" t="str">
            <v/>
          </cell>
          <cell r="G174" t="str">
            <v/>
          </cell>
        </row>
        <row r="175">
          <cell r="A175" t="str">
            <v>陈海鹏</v>
          </cell>
          <cell r="B175" t="str">
            <v>13425153357</v>
          </cell>
          <cell r="C175" t="str">
            <v>在职</v>
          </cell>
          <cell r="D175" t="str">
            <v>jimmychen</v>
          </cell>
          <cell r="E175" t="str">
            <v>数智平台中心</v>
          </cell>
          <cell r="F175" t="str">
            <v>数智产品组</v>
          </cell>
          <cell r="G175" t="str">
            <v/>
          </cell>
        </row>
        <row r="176">
          <cell r="A176" t="str">
            <v>张燕斌</v>
          </cell>
          <cell r="B176" t="str">
            <v>18060200023</v>
          </cell>
          <cell r="C176" t="str">
            <v>在职</v>
          </cell>
          <cell r="D176" t="str">
            <v>brucezhang</v>
          </cell>
          <cell r="E176" t="str">
            <v>基础平台中心</v>
          </cell>
          <cell r="F176" t="str">
            <v>测试运维组</v>
          </cell>
          <cell r="G176" t="str">
            <v>快消测试组</v>
          </cell>
        </row>
        <row r="177">
          <cell r="A177" t="str">
            <v>陈勇</v>
          </cell>
          <cell r="B177" t="str">
            <v>17328390789</v>
          </cell>
          <cell r="C177" t="str">
            <v>在职</v>
          </cell>
          <cell r="D177" t="str">
            <v>joychen</v>
          </cell>
          <cell r="E177" t="str">
            <v>直播平台中心</v>
          </cell>
          <cell r="F177" t="str">
            <v>直播质量组</v>
          </cell>
          <cell r="G177" t="str">
            <v/>
          </cell>
        </row>
        <row r="178">
          <cell r="A178" t="str">
            <v>李显鹏</v>
          </cell>
          <cell r="B178" t="str">
            <v>13070125327</v>
          </cell>
          <cell r="C178" t="str">
            <v>在职</v>
          </cell>
          <cell r="D178" t="str">
            <v>zeecoli</v>
          </cell>
          <cell r="E178" t="str">
            <v>产品运营中心</v>
          </cell>
          <cell r="F178" t="str">
            <v/>
          </cell>
          <cell r="G178" t="str">
            <v/>
          </cell>
        </row>
        <row r="179">
          <cell r="A179" t="str">
            <v>艾兵</v>
          </cell>
          <cell r="B179" t="str">
            <v>13243730641</v>
          </cell>
          <cell r="C179" t="str">
            <v>在职</v>
          </cell>
          <cell r="D179" t="str">
            <v>barretai</v>
          </cell>
          <cell r="E179" t="str">
            <v>电商产品中心</v>
          </cell>
          <cell r="F179" t="str">
            <v>电商前端二组</v>
          </cell>
          <cell r="G179" t="str">
            <v/>
          </cell>
        </row>
        <row r="180">
          <cell r="A180" t="str">
            <v>郑裕玲</v>
          </cell>
          <cell r="B180" t="str">
            <v>13860051239</v>
          </cell>
          <cell r="C180" t="str">
            <v>在职</v>
          </cell>
          <cell r="D180" t="str">
            <v>emmazheng</v>
          </cell>
          <cell r="E180" t="str">
            <v>品牌运营中心</v>
          </cell>
          <cell r="F180" t="str">
            <v>直播运营组</v>
          </cell>
          <cell r="G180" t="str">
            <v/>
          </cell>
        </row>
        <row r="181">
          <cell r="A181" t="str">
            <v>周思聪</v>
          </cell>
          <cell r="B181" t="str">
            <v>18229791478</v>
          </cell>
          <cell r="C181" t="str">
            <v>在职</v>
          </cell>
          <cell r="D181" t="str">
            <v>nickzhou</v>
          </cell>
          <cell r="E181" t="str">
            <v>直播平台中心</v>
          </cell>
          <cell r="F181" t="str">
            <v>直播后台开发组</v>
          </cell>
          <cell r="G181" t="str">
            <v/>
          </cell>
        </row>
        <row r="182">
          <cell r="A182" t="str">
            <v>姚得斌</v>
          </cell>
          <cell r="B182" t="str">
            <v>13316490340</v>
          </cell>
          <cell r="C182" t="str">
            <v>在职</v>
          </cell>
          <cell r="D182" t="str">
            <v>edenyao</v>
          </cell>
          <cell r="E182" t="str">
            <v>基础平台中心</v>
          </cell>
          <cell r="F182" t="str">
            <v>效能平台组</v>
          </cell>
          <cell r="G182" t="str">
            <v/>
          </cell>
        </row>
        <row r="183">
          <cell r="A183" t="str">
            <v>杨思捷</v>
          </cell>
          <cell r="B183" t="str">
            <v>18078822402</v>
          </cell>
          <cell r="C183" t="str">
            <v>在职</v>
          </cell>
          <cell r="D183" t="str">
            <v>brittayang</v>
          </cell>
          <cell r="E183" t="str">
            <v>营销产品中心</v>
          </cell>
          <cell r="F183" t="str">
            <v>营销前端组</v>
          </cell>
          <cell r="G183" t="str">
            <v/>
          </cell>
        </row>
        <row r="184">
          <cell r="A184" t="str">
            <v>杨莎</v>
          </cell>
          <cell r="B184" t="str">
            <v>15807649261</v>
          </cell>
          <cell r="C184" t="str">
            <v>在职</v>
          </cell>
          <cell r="D184" t="str">
            <v>sylviayang</v>
          </cell>
          <cell r="E184" t="str">
            <v>品牌运营中心</v>
          </cell>
          <cell r="F184" t="str">
            <v>私域实验组</v>
          </cell>
          <cell r="G184" t="str">
            <v/>
          </cell>
        </row>
        <row r="185">
          <cell r="A185" t="str">
            <v>罗文</v>
          </cell>
          <cell r="B185" t="str">
            <v>16675567559</v>
          </cell>
          <cell r="C185" t="str">
            <v>在职</v>
          </cell>
          <cell r="D185" t="str">
            <v>rowanluo</v>
          </cell>
          <cell r="E185" t="str">
            <v>直播平台中心</v>
          </cell>
          <cell r="F185" t="str">
            <v>直播产品组</v>
          </cell>
          <cell r="G185" t="str">
            <v/>
          </cell>
        </row>
        <row r="186">
          <cell r="A186" t="str">
            <v>杨欣妍</v>
          </cell>
          <cell r="B186" t="str">
            <v>18773258050</v>
          </cell>
          <cell r="C186" t="str">
            <v>在职</v>
          </cell>
          <cell r="D186" t="str">
            <v>jennyyang</v>
          </cell>
          <cell r="E186" t="str">
            <v>直播平台中心</v>
          </cell>
          <cell r="F186" t="str">
            <v>前端平台开发组</v>
          </cell>
          <cell r="G186" t="str">
            <v/>
          </cell>
        </row>
        <row r="187">
          <cell r="A187" t="str">
            <v>阳尚君</v>
          </cell>
          <cell r="B187" t="str">
            <v>13438151695</v>
          </cell>
          <cell r="C187" t="str">
            <v>在职</v>
          </cell>
          <cell r="D187" t="str">
            <v>siritayang</v>
          </cell>
          <cell r="E187" t="str">
            <v>品牌运营中心</v>
          </cell>
          <cell r="F187" t="str">
            <v>视觉组</v>
          </cell>
          <cell r="G187" t="str">
            <v/>
          </cell>
        </row>
        <row r="188">
          <cell r="A188" t="str">
            <v>蒋科</v>
          </cell>
          <cell r="B188" t="str">
            <v>18742528693</v>
          </cell>
          <cell r="C188" t="str">
            <v>在职</v>
          </cell>
          <cell r="D188" t="str">
            <v>kekejiang</v>
          </cell>
          <cell r="E188" t="str">
            <v>学习产品中心</v>
          </cell>
          <cell r="F188" t="str">
            <v>助学业务组</v>
          </cell>
          <cell r="G188" t="str">
            <v/>
          </cell>
        </row>
        <row r="189">
          <cell r="A189" t="str">
            <v>谭书坤</v>
          </cell>
          <cell r="B189" t="str">
            <v>17726646255</v>
          </cell>
          <cell r="C189" t="str">
            <v>在职</v>
          </cell>
          <cell r="D189" t="str">
            <v>shukuntan</v>
          </cell>
          <cell r="E189" t="str">
            <v>直播平台中心</v>
          </cell>
          <cell r="F189" t="str">
            <v>直播质量组</v>
          </cell>
          <cell r="G189" t="str">
            <v/>
          </cell>
        </row>
        <row r="190">
          <cell r="A190" t="str">
            <v>高志杰</v>
          </cell>
          <cell r="B190" t="str">
            <v>13246683045</v>
          </cell>
          <cell r="C190" t="str">
            <v>在职</v>
          </cell>
          <cell r="D190" t="str">
            <v>jasongao</v>
          </cell>
          <cell r="E190" t="str">
            <v>电商产品中心</v>
          </cell>
          <cell r="F190" t="str">
            <v>电商后台一组</v>
          </cell>
          <cell r="G190" t="str">
            <v/>
          </cell>
        </row>
        <row r="191">
          <cell r="A191" t="str">
            <v>曾伟锋</v>
          </cell>
          <cell r="B191" t="str">
            <v>15323880467</v>
          </cell>
          <cell r="C191" t="str">
            <v>在职</v>
          </cell>
          <cell r="D191" t="str">
            <v>sanyizeng</v>
          </cell>
          <cell r="E191" t="str">
            <v>KA销售中心</v>
          </cell>
          <cell r="F191" t="str">
            <v>渠道合作组-华北区</v>
          </cell>
          <cell r="G191" t="str">
            <v/>
          </cell>
        </row>
        <row r="192">
          <cell r="A192" t="str">
            <v>何延涛</v>
          </cell>
          <cell r="B192" t="str">
            <v>15670250078</v>
          </cell>
          <cell r="C192" t="str">
            <v>在职</v>
          </cell>
          <cell r="D192" t="str">
            <v>yantaohe</v>
          </cell>
          <cell r="E192" t="str">
            <v>营销产品中心</v>
          </cell>
          <cell r="F192" t="str">
            <v>营销后台组</v>
          </cell>
          <cell r="G192" t="str">
            <v/>
          </cell>
        </row>
        <row r="193">
          <cell r="A193" t="str">
            <v>梅水芳</v>
          </cell>
          <cell r="B193" t="str">
            <v>19924493266</v>
          </cell>
          <cell r="C193" t="str">
            <v>在职</v>
          </cell>
          <cell r="D193" t="str">
            <v>melissamei</v>
          </cell>
          <cell r="E193" t="str">
            <v>基础平台中心</v>
          </cell>
          <cell r="F193" t="str">
            <v>测试运维组</v>
          </cell>
          <cell r="G193" t="str">
            <v>快消测试组</v>
          </cell>
        </row>
        <row r="194">
          <cell r="A194" t="str">
            <v>杨诗惠</v>
          </cell>
          <cell r="B194" t="str">
            <v>18319728126</v>
          </cell>
          <cell r="C194" t="str">
            <v>在职</v>
          </cell>
          <cell r="D194" t="str">
            <v>shihuiyang</v>
          </cell>
          <cell r="E194" t="str">
            <v>自营销售中心</v>
          </cell>
          <cell r="F194" t="str">
            <v>LA销售组</v>
          </cell>
          <cell r="G194" t="str">
            <v>医美组</v>
          </cell>
        </row>
        <row r="195">
          <cell r="A195" t="str">
            <v>郭武澎</v>
          </cell>
          <cell r="B195" t="str">
            <v>13423596558</v>
          </cell>
          <cell r="C195" t="str">
            <v>在职</v>
          </cell>
          <cell r="D195" t="str">
            <v>albertguo</v>
          </cell>
          <cell r="E195" t="str">
            <v>电商产品中心</v>
          </cell>
          <cell r="F195" t="str">
            <v>电商后台一组</v>
          </cell>
          <cell r="G195" t="str">
            <v/>
          </cell>
        </row>
        <row r="196">
          <cell r="A196" t="str">
            <v>文诗逸</v>
          </cell>
          <cell r="B196" t="str">
            <v>18588965241</v>
          </cell>
          <cell r="C196" t="str">
            <v>在职</v>
          </cell>
          <cell r="D196" t="str">
            <v>sheawen</v>
          </cell>
          <cell r="E196" t="str">
            <v>基础平台中心</v>
          </cell>
          <cell r="F196" t="str">
            <v>测试运维组</v>
          </cell>
          <cell r="G196" t="str">
            <v>快消测试组</v>
          </cell>
        </row>
        <row r="197">
          <cell r="A197" t="str">
            <v>游柏皓</v>
          </cell>
          <cell r="B197" t="str">
            <v>13066822130</v>
          </cell>
          <cell r="C197" t="str">
            <v>在职</v>
          </cell>
          <cell r="D197" t="str">
            <v>parcoyou</v>
          </cell>
          <cell r="E197" t="str">
            <v>直播平台中心</v>
          </cell>
          <cell r="F197" t="str">
            <v>前端平台开发组</v>
          </cell>
          <cell r="G197" t="str">
            <v/>
          </cell>
        </row>
        <row r="198">
          <cell r="A198" t="str">
            <v>李延发</v>
          </cell>
          <cell r="B198" t="str">
            <v>15219462060</v>
          </cell>
          <cell r="C198" t="str">
            <v>在职</v>
          </cell>
          <cell r="D198" t="str">
            <v>yanfali</v>
          </cell>
          <cell r="E198" t="str">
            <v>基础平台中心</v>
          </cell>
          <cell r="F198" t="str">
            <v>测试运维组</v>
          </cell>
          <cell r="G198" t="str">
            <v>快消测试组</v>
          </cell>
        </row>
        <row r="199">
          <cell r="A199" t="str">
            <v>龚定武</v>
          </cell>
          <cell r="B199" t="str">
            <v>13510272523</v>
          </cell>
          <cell r="C199" t="str">
            <v>在职</v>
          </cell>
          <cell r="D199" t="str">
            <v>perrygong</v>
          </cell>
          <cell r="E199" t="str">
            <v>电商产品中心</v>
          </cell>
          <cell r="F199" t="str">
            <v>电商后台二组</v>
          </cell>
          <cell r="G199" t="str">
            <v/>
          </cell>
        </row>
        <row r="200">
          <cell r="A200" t="str">
            <v>赖文彬</v>
          </cell>
          <cell r="B200" t="str">
            <v>15019219331</v>
          </cell>
          <cell r="C200" t="str">
            <v>在职</v>
          </cell>
          <cell r="D200" t="str">
            <v>owenlai</v>
          </cell>
          <cell r="E200" t="str">
            <v>基础平台中心</v>
          </cell>
          <cell r="F200" t="str">
            <v>前端开发组</v>
          </cell>
          <cell r="G200" t="str">
            <v/>
          </cell>
        </row>
        <row r="201">
          <cell r="A201" t="str">
            <v>文世荣</v>
          </cell>
          <cell r="B201" t="str">
            <v>13760645147</v>
          </cell>
          <cell r="C201" t="str">
            <v>在职</v>
          </cell>
          <cell r="D201" t="str">
            <v>shirongwen</v>
          </cell>
          <cell r="E201" t="str">
            <v>电商产品中心</v>
          </cell>
          <cell r="F201" t="str">
            <v>电商后台二组</v>
          </cell>
          <cell r="G201" t="str">
            <v/>
          </cell>
        </row>
        <row r="202">
          <cell r="A202" t="str">
            <v>蔡荣辉</v>
          </cell>
          <cell r="B202" t="str">
            <v>13662598100</v>
          </cell>
          <cell r="C202" t="str">
            <v>在职</v>
          </cell>
          <cell r="D202" t="str">
            <v>ekkocai</v>
          </cell>
          <cell r="E202" t="str">
            <v>产品运营中心</v>
          </cell>
          <cell r="F202" t="str">
            <v>UI组</v>
          </cell>
          <cell r="G202" t="str">
            <v/>
          </cell>
        </row>
        <row r="203">
          <cell r="A203" t="str">
            <v>王昊</v>
          </cell>
          <cell r="B203" t="str">
            <v>17688720600</v>
          </cell>
          <cell r="C203" t="str">
            <v>在职</v>
          </cell>
          <cell r="D203" t="str">
            <v>evanwang</v>
          </cell>
          <cell r="E203" t="str">
            <v>产品运营中心</v>
          </cell>
          <cell r="F203" t="str">
            <v>出海产品组</v>
          </cell>
          <cell r="G203" t="str">
            <v/>
          </cell>
        </row>
        <row r="204">
          <cell r="A204" t="str">
            <v>任伟强</v>
          </cell>
          <cell r="B204" t="str">
            <v>18218361056</v>
          </cell>
          <cell r="C204" t="str">
            <v>在职</v>
          </cell>
          <cell r="D204" t="str">
            <v>weiqiangren</v>
          </cell>
          <cell r="E204" t="str">
            <v>数智平台中心</v>
          </cell>
          <cell r="F204" t="str">
            <v>数智后台一组</v>
          </cell>
          <cell r="G204" t="str">
            <v/>
          </cell>
        </row>
        <row r="205">
          <cell r="A205" t="str">
            <v>刘剑</v>
          </cell>
          <cell r="B205" t="str">
            <v>15994801850</v>
          </cell>
          <cell r="C205" t="str">
            <v>在职</v>
          </cell>
          <cell r="D205" t="str">
            <v>jianliu</v>
          </cell>
          <cell r="E205" t="str">
            <v>KA销售中心</v>
          </cell>
          <cell r="F205" t="str">
            <v>渠道合作组-华南区</v>
          </cell>
          <cell r="G205" t="str">
            <v/>
          </cell>
        </row>
        <row r="206">
          <cell r="A206" t="str">
            <v>李鹏飞</v>
          </cell>
          <cell r="B206" t="str">
            <v>18513505333</v>
          </cell>
          <cell r="C206" t="str">
            <v>在职</v>
          </cell>
          <cell r="D206" t="str">
            <v>lewisli</v>
          </cell>
          <cell r="E206" t="str">
            <v>KA销售中心</v>
          </cell>
          <cell r="F206" t="str">
            <v>渠道合作组-华北区</v>
          </cell>
          <cell r="G206" t="str">
            <v/>
          </cell>
        </row>
        <row r="207">
          <cell r="A207" t="str">
            <v>曾清明</v>
          </cell>
          <cell r="B207" t="str">
            <v>13242428607</v>
          </cell>
          <cell r="C207" t="str">
            <v>在职</v>
          </cell>
          <cell r="D207" t="str">
            <v>cicizeng</v>
          </cell>
          <cell r="E207" t="str">
            <v>基础平台中心</v>
          </cell>
          <cell r="F207" t="str">
            <v>出海研发组</v>
          </cell>
          <cell r="G207" t="str">
            <v/>
          </cell>
        </row>
        <row r="208">
          <cell r="A208" t="str">
            <v>沈海微</v>
          </cell>
          <cell r="B208" t="str">
            <v>13421836306</v>
          </cell>
          <cell r="C208" t="str">
            <v>在职</v>
          </cell>
          <cell r="D208" t="str">
            <v>highwayshen</v>
          </cell>
          <cell r="E208" t="str">
            <v>直播平台中心</v>
          </cell>
          <cell r="F208" t="str">
            <v>直播质量组</v>
          </cell>
          <cell r="G208" t="str">
            <v/>
          </cell>
        </row>
        <row r="209">
          <cell r="A209" t="str">
            <v>任婷婷</v>
          </cell>
          <cell r="B209" t="str">
            <v>15986725190</v>
          </cell>
          <cell r="C209" t="str">
            <v>在职</v>
          </cell>
          <cell r="D209" t="str">
            <v>viviren</v>
          </cell>
          <cell r="E209" t="str">
            <v>基础平台中心</v>
          </cell>
          <cell r="F209" t="str">
            <v>测试运维组</v>
          </cell>
          <cell r="G209" t="str">
            <v>快消测试组</v>
          </cell>
        </row>
        <row r="210">
          <cell r="A210" t="str">
            <v>周志刚</v>
          </cell>
          <cell r="B210" t="str">
            <v>18871532015</v>
          </cell>
          <cell r="C210" t="str">
            <v>在职</v>
          </cell>
          <cell r="D210" t="str">
            <v>allenzhou</v>
          </cell>
          <cell r="E210" t="str">
            <v>基础平台中心</v>
          </cell>
          <cell r="F210" t="str">
            <v>测试运维组</v>
          </cell>
          <cell r="G210" t="str">
            <v>平台测试组</v>
          </cell>
        </row>
        <row r="211">
          <cell r="A211" t="str">
            <v>冯锦芝</v>
          </cell>
          <cell r="B211" t="str">
            <v>15019180935</v>
          </cell>
          <cell r="C211" t="str">
            <v>在职</v>
          </cell>
          <cell r="D211" t="str">
            <v>orangefeng</v>
          </cell>
          <cell r="E211" t="str">
            <v>综合职能中心</v>
          </cell>
          <cell r="F211" t="str">
            <v>人力组</v>
          </cell>
          <cell r="G211" t="str">
            <v>薪酬绩效组</v>
          </cell>
        </row>
        <row r="212">
          <cell r="A212" t="str">
            <v>慕志毅</v>
          </cell>
          <cell r="B212" t="str">
            <v>15306819665</v>
          </cell>
          <cell r="C212" t="str">
            <v>在职</v>
          </cell>
          <cell r="D212" t="str">
            <v>jimmu</v>
          </cell>
          <cell r="E212" t="str">
            <v>KA销售中心</v>
          </cell>
          <cell r="F212" t="str">
            <v>渠道合作组-西南区</v>
          </cell>
          <cell r="G212" t="str">
            <v/>
          </cell>
        </row>
        <row r="213">
          <cell r="A213" t="str">
            <v>张雨诚</v>
          </cell>
          <cell r="B213" t="str">
            <v>18000541150</v>
          </cell>
          <cell r="C213" t="str">
            <v>在职</v>
          </cell>
          <cell r="D213" t="str">
            <v>yuchengzhang</v>
          </cell>
          <cell r="E213" t="str">
            <v>运营支持中心</v>
          </cell>
          <cell r="F213" t="str">
            <v/>
          </cell>
          <cell r="G213" t="str">
            <v/>
          </cell>
        </row>
        <row r="214">
          <cell r="A214" t="str">
            <v>方镇城</v>
          </cell>
          <cell r="B214" t="str">
            <v>13250326901</v>
          </cell>
          <cell r="C214" t="str">
            <v>在职</v>
          </cell>
          <cell r="D214" t="str">
            <v>zhenchengfang</v>
          </cell>
          <cell r="E214" t="str">
            <v>自营销售中心</v>
          </cell>
          <cell r="F214" t="str">
            <v>业务经理组</v>
          </cell>
          <cell r="G214" t="str">
            <v/>
          </cell>
        </row>
        <row r="215">
          <cell r="A215" t="str">
            <v>陈琦</v>
          </cell>
          <cell r="B215" t="str">
            <v>15797908655</v>
          </cell>
          <cell r="C215" t="str">
            <v>在职</v>
          </cell>
          <cell r="D215" t="str">
            <v>carmenchen</v>
          </cell>
          <cell r="E215" t="str">
            <v>财务中心</v>
          </cell>
          <cell r="F215" t="str">
            <v>财务组</v>
          </cell>
          <cell r="G215" t="str">
            <v/>
          </cell>
        </row>
        <row r="216">
          <cell r="A216" t="str">
            <v>安建周</v>
          </cell>
          <cell r="B216" t="str">
            <v>15001071803</v>
          </cell>
          <cell r="C216" t="str">
            <v>在职</v>
          </cell>
          <cell r="D216" t="str">
            <v>allanan</v>
          </cell>
          <cell r="E216" t="str">
            <v>KA销售中心</v>
          </cell>
          <cell r="F216" t="str">
            <v>渠道合作组-西南区</v>
          </cell>
          <cell r="G216" t="str">
            <v/>
          </cell>
        </row>
        <row r="217">
          <cell r="A217" t="str">
            <v>宋绪娟</v>
          </cell>
          <cell r="B217" t="str">
            <v>17611499257</v>
          </cell>
          <cell r="C217" t="str">
            <v>在职</v>
          </cell>
          <cell r="D217" t="str">
            <v>xujuansong</v>
          </cell>
          <cell r="E217" t="str">
            <v>KA销售中心</v>
          </cell>
          <cell r="F217" t="str">
            <v>渠道服务支持组</v>
          </cell>
          <cell r="G217" t="str">
            <v/>
          </cell>
        </row>
        <row r="218">
          <cell r="A218" t="str">
            <v>黄海婷</v>
          </cell>
          <cell r="B218" t="str">
            <v>18308992750</v>
          </cell>
          <cell r="C218" t="str">
            <v>在职</v>
          </cell>
          <cell r="D218" t="str">
            <v>tinsleyhuang</v>
          </cell>
          <cell r="E218" t="str">
            <v>企培产品中心</v>
          </cell>
          <cell r="F218" t="str">
            <v>客户组</v>
          </cell>
          <cell r="G218" t="str">
            <v/>
          </cell>
        </row>
        <row r="219">
          <cell r="A219" t="str">
            <v>李文龙</v>
          </cell>
          <cell r="B219" t="str">
            <v>13701169090</v>
          </cell>
          <cell r="C219" t="str">
            <v>在职</v>
          </cell>
          <cell r="D219" t="str">
            <v>edwinli</v>
          </cell>
          <cell r="E219" t="str">
            <v>KA销售中心</v>
          </cell>
          <cell r="F219" t="str">
            <v>渠道合作组-西南区</v>
          </cell>
          <cell r="G219" t="str">
            <v/>
          </cell>
        </row>
        <row r="220">
          <cell r="A220" t="str">
            <v>高海霞</v>
          </cell>
          <cell r="B220" t="str">
            <v>19875215969</v>
          </cell>
          <cell r="C220" t="str">
            <v>在职</v>
          </cell>
          <cell r="D220" t="str">
            <v>daragao</v>
          </cell>
          <cell r="E220" t="str">
            <v>产品运营中心</v>
          </cell>
          <cell r="F220" t="str">
            <v>客户服务组</v>
          </cell>
          <cell r="G220" t="str">
            <v>基础管家二组</v>
          </cell>
        </row>
        <row r="221">
          <cell r="A221" t="str">
            <v>欧阳琼</v>
          </cell>
          <cell r="B221" t="str">
            <v>13537600964</v>
          </cell>
          <cell r="C221" t="str">
            <v>在职</v>
          </cell>
          <cell r="D221" t="str">
            <v>jeremiouyang</v>
          </cell>
          <cell r="E221" t="str">
            <v>综合职能中心</v>
          </cell>
          <cell r="F221" t="str">
            <v>质量检查组</v>
          </cell>
          <cell r="G221" t="str">
            <v/>
          </cell>
        </row>
        <row r="222">
          <cell r="A222" t="str">
            <v>黄阳林</v>
          </cell>
          <cell r="B222" t="str">
            <v>13689120119</v>
          </cell>
          <cell r="C222" t="str">
            <v>在职</v>
          </cell>
          <cell r="D222" t="str">
            <v>sunshinehuang</v>
          </cell>
          <cell r="E222" t="str">
            <v>KA销售中心</v>
          </cell>
          <cell r="F222" t="str">
            <v>渠道合作组-西南区</v>
          </cell>
          <cell r="G222" t="str">
            <v/>
          </cell>
        </row>
        <row r="223">
          <cell r="A223" t="str">
            <v>罗佳丽</v>
          </cell>
          <cell r="B223" t="str">
            <v>18273466578</v>
          </cell>
          <cell r="C223" t="str">
            <v>在职</v>
          </cell>
          <cell r="D223" t="str">
            <v>jialiluo</v>
          </cell>
          <cell r="E223" t="str">
            <v>产品运营中心</v>
          </cell>
          <cell r="F223" t="str">
            <v>客户服务组</v>
          </cell>
          <cell r="G223" t="str">
            <v>基础管家二组</v>
          </cell>
        </row>
        <row r="224">
          <cell r="A224" t="str">
            <v>姜申</v>
          </cell>
          <cell r="B224" t="str">
            <v>15302680356</v>
          </cell>
          <cell r="C224" t="str">
            <v>在职</v>
          </cell>
          <cell r="D224" t="str">
            <v>jsonjiang</v>
          </cell>
          <cell r="E224" t="str">
            <v>基础平台中心</v>
          </cell>
          <cell r="F224" t="str">
            <v>测试运维组</v>
          </cell>
          <cell r="G224" t="str">
            <v>平台测试组</v>
          </cell>
        </row>
        <row r="225">
          <cell r="A225" t="str">
            <v>黄丽雅</v>
          </cell>
          <cell r="B225" t="str">
            <v>13266546749</v>
          </cell>
          <cell r="C225" t="str">
            <v>在职</v>
          </cell>
          <cell r="D225" t="str">
            <v>liyahuang</v>
          </cell>
          <cell r="E225" t="str">
            <v>综合职能中心</v>
          </cell>
          <cell r="F225" t="str">
            <v>人力组</v>
          </cell>
          <cell r="G225" t="str">
            <v>招聘BP组</v>
          </cell>
        </row>
        <row r="226">
          <cell r="A226" t="str">
            <v>周亮</v>
          </cell>
          <cell r="B226" t="str">
            <v>15013845571</v>
          </cell>
          <cell r="C226" t="str">
            <v>在职</v>
          </cell>
          <cell r="D226" t="str">
            <v>prayerzhou</v>
          </cell>
          <cell r="E226" t="str">
            <v>数智平台中心</v>
          </cell>
          <cell r="F226" t="str">
            <v>数智后台一组</v>
          </cell>
          <cell r="G226" t="str">
            <v/>
          </cell>
        </row>
        <row r="227">
          <cell r="A227" t="str">
            <v>施德鹏</v>
          </cell>
          <cell r="B227" t="str">
            <v>18126392048</v>
          </cell>
          <cell r="C227" t="str">
            <v>在职</v>
          </cell>
          <cell r="D227" t="str">
            <v>depengshi</v>
          </cell>
          <cell r="E227" t="str">
            <v>企培产品中心</v>
          </cell>
          <cell r="F227" t="str">
            <v>企培研发组</v>
          </cell>
          <cell r="G227" t="str">
            <v/>
          </cell>
        </row>
        <row r="228">
          <cell r="A228" t="str">
            <v>贺先军</v>
          </cell>
          <cell r="B228" t="str">
            <v>18503083485</v>
          </cell>
          <cell r="C228" t="str">
            <v>在职</v>
          </cell>
          <cell r="D228" t="str">
            <v>damonhe</v>
          </cell>
          <cell r="E228" t="str">
            <v>产品运营中心</v>
          </cell>
          <cell r="F228" t="str">
            <v>客户服务组</v>
          </cell>
          <cell r="G228" t="str">
            <v>直播电商专项组</v>
          </cell>
        </row>
        <row r="229">
          <cell r="A229" t="str">
            <v>郭路路</v>
          </cell>
          <cell r="B229" t="str">
            <v>18665551901</v>
          </cell>
          <cell r="C229" t="str">
            <v>在职</v>
          </cell>
          <cell r="D229" t="str">
            <v>tammyguo</v>
          </cell>
          <cell r="E229" t="str">
            <v>自营销售中心</v>
          </cell>
          <cell r="F229" t="str">
            <v>SDR一组</v>
          </cell>
          <cell r="G229" t="str">
            <v/>
          </cell>
        </row>
        <row r="230">
          <cell r="A230" t="str">
            <v>钱斌</v>
          </cell>
          <cell r="B230" t="str">
            <v>13512719325</v>
          </cell>
          <cell r="C230" t="str">
            <v>在职</v>
          </cell>
          <cell r="D230" t="str">
            <v>binqian</v>
          </cell>
          <cell r="E230" t="str">
            <v>电商产品中心</v>
          </cell>
          <cell r="F230" t="str">
            <v>电商后台一组</v>
          </cell>
          <cell r="G230" t="str">
            <v/>
          </cell>
        </row>
        <row r="231">
          <cell r="A231" t="str">
            <v>刘玮</v>
          </cell>
          <cell r="B231" t="str">
            <v>19121922062</v>
          </cell>
          <cell r="C231" t="str">
            <v>在职</v>
          </cell>
          <cell r="D231" t="str">
            <v>weiliu</v>
          </cell>
          <cell r="E231" t="str">
            <v>自营销售中心</v>
          </cell>
          <cell r="F231" t="str">
            <v>业务经理组</v>
          </cell>
          <cell r="G231" t="str">
            <v/>
          </cell>
        </row>
        <row r="232">
          <cell r="A232" t="str">
            <v>王晓曼</v>
          </cell>
          <cell r="B232" t="str">
            <v>15899771230</v>
          </cell>
          <cell r="C232" t="str">
            <v>在职</v>
          </cell>
          <cell r="D232" t="str">
            <v>doriswang</v>
          </cell>
          <cell r="E232" t="str">
            <v>直播平台中心</v>
          </cell>
          <cell r="F232" t="str">
            <v>直播产品组</v>
          </cell>
          <cell r="G232" t="str">
            <v/>
          </cell>
        </row>
        <row r="233">
          <cell r="A233" t="str">
            <v>胡思婷</v>
          </cell>
          <cell r="B233" t="str">
            <v>15113493359</v>
          </cell>
          <cell r="C233" t="str">
            <v>在职</v>
          </cell>
          <cell r="D233" t="str">
            <v>alicehu</v>
          </cell>
          <cell r="E233" t="str">
            <v>基础平台中心</v>
          </cell>
          <cell r="F233" t="str">
            <v>出海研发组</v>
          </cell>
          <cell r="G233" t="str">
            <v/>
          </cell>
        </row>
        <row r="234">
          <cell r="A234" t="str">
            <v>郭诗诗</v>
          </cell>
          <cell r="B234" t="str">
            <v>13510585209</v>
          </cell>
          <cell r="C234" t="str">
            <v>在职</v>
          </cell>
          <cell r="D234" t="str">
            <v>bniguo</v>
          </cell>
          <cell r="E234" t="str">
            <v>品牌运营中心</v>
          </cell>
          <cell r="F234" t="str">
            <v>教练联盟组</v>
          </cell>
          <cell r="G234" t="str">
            <v/>
          </cell>
        </row>
        <row r="235">
          <cell r="A235" t="str">
            <v>何绪军</v>
          </cell>
          <cell r="B235" t="str">
            <v>18126440484</v>
          </cell>
          <cell r="C235" t="str">
            <v>在职</v>
          </cell>
          <cell r="D235" t="str">
            <v>xujunhe</v>
          </cell>
          <cell r="E235" t="str">
            <v>基础平台中心</v>
          </cell>
          <cell r="F235" t="str">
            <v>测试运维组</v>
          </cell>
          <cell r="G235" t="str">
            <v>快消测试组</v>
          </cell>
        </row>
        <row r="236">
          <cell r="A236" t="str">
            <v>杨波</v>
          </cell>
          <cell r="B236" t="str">
            <v>15879187726</v>
          </cell>
          <cell r="C236" t="str">
            <v>在职</v>
          </cell>
          <cell r="D236" t="str">
            <v>billyyang</v>
          </cell>
          <cell r="E236" t="str">
            <v>电商产品中心</v>
          </cell>
          <cell r="F236" t="str">
            <v>电商前端一组</v>
          </cell>
          <cell r="G236" t="str">
            <v/>
          </cell>
        </row>
        <row r="237">
          <cell r="A237" t="str">
            <v>张小雪</v>
          </cell>
          <cell r="B237" t="str">
            <v>13556340952</v>
          </cell>
          <cell r="C237" t="str">
            <v>在职</v>
          </cell>
          <cell r="D237" t="str">
            <v>michellezhang</v>
          </cell>
          <cell r="E237" t="str">
            <v>基础平台中心</v>
          </cell>
          <cell r="F237" t="str">
            <v>基础平台组</v>
          </cell>
          <cell r="G237" t="str">
            <v/>
          </cell>
        </row>
        <row r="238">
          <cell r="A238" t="str">
            <v>朱滢帆</v>
          </cell>
          <cell r="B238" t="str">
            <v>17527503949</v>
          </cell>
          <cell r="C238" t="str">
            <v>在职</v>
          </cell>
          <cell r="D238" t="str">
            <v>amyzhu</v>
          </cell>
          <cell r="E238" t="str">
            <v>综合职能中心</v>
          </cell>
          <cell r="F238" t="str">
            <v>人力组</v>
          </cell>
          <cell r="G238" t="str">
            <v>招聘BP组</v>
          </cell>
        </row>
        <row r="239">
          <cell r="A239" t="str">
            <v>罗春亚</v>
          </cell>
          <cell r="B239" t="str">
            <v>18899859395</v>
          </cell>
          <cell r="C239" t="str">
            <v>在职</v>
          </cell>
          <cell r="D239" t="str">
            <v>chunyaluo</v>
          </cell>
          <cell r="E239" t="str">
            <v>产品运营中心</v>
          </cell>
          <cell r="F239" t="str">
            <v>客户服务组</v>
          </cell>
          <cell r="G239" t="str">
            <v>投诉热线组</v>
          </cell>
        </row>
        <row r="240">
          <cell r="A240" t="str">
            <v>王珍</v>
          </cell>
          <cell r="B240" t="str">
            <v>17733142853</v>
          </cell>
          <cell r="C240" t="str">
            <v>在职</v>
          </cell>
          <cell r="D240" t="str">
            <v>zhenwang</v>
          </cell>
          <cell r="E240" t="str">
            <v>企培产品中心</v>
          </cell>
          <cell r="F240" t="str">
            <v>客户组</v>
          </cell>
          <cell r="G240" t="str">
            <v/>
          </cell>
        </row>
        <row r="241">
          <cell r="A241" t="str">
            <v>张晓洋</v>
          </cell>
          <cell r="B241" t="str">
            <v>13554980934</v>
          </cell>
          <cell r="C241" t="str">
            <v>在职</v>
          </cell>
          <cell r="D241" t="str">
            <v>xiaoyangzhang</v>
          </cell>
          <cell r="E241" t="str">
            <v>企培产品中心</v>
          </cell>
          <cell r="F241" t="str">
            <v>客户组</v>
          </cell>
          <cell r="G241" t="str">
            <v/>
          </cell>
        </row>
        <row r="242">
          <cell r="A242" t="str">
            <v>叶胡兵</v>
          </cell>
          <cell r="B242" t="str">
            <v>15026905416</v>
          </cell>
          <cell r="C242" t="str">
            <v>在职</v>
          </cell>
          <cell r="D242" t="str">
            <v>hubingye</v>
          </cell>
          <cell r="E242" t="str">
            <v>生态运营中心</v>
          </cell>
          <cell r="F242" t="str">
            <v>KA运营组</v>
          </cell>
          <cell r="G242" t="str">
            <v/>
          </cell>
        </row>
        <row r="243">
          <cell r="A243" t="str">
            <v>张志勇</v>
          </cell>
          <cell r="B243" t="str">
            <v>15010815206</v>
          </cell>
          <cell r="C243" t="str">
            <v>在职</v>
          </cell>
          <cell r="D243" t="str">
            <v>lukazhang</v>
          </cell>
          <cell r="E243" t="str">
            <v>基础平台中心</v>
          </cell>
          <cell r="F243" t="str">
            <v>前端开发组</v>
          </cell>
          <cell r="G243" t="str">
            <v/>
          </cell>
        </row>
        <row r="244">
          <cell r="A244" t="str">
            <v>余强</v>
          </cell>
          <cell r="B244" t="str">
            <v>15010996815</v>
          </cell>
          <cell r="C244" t="str">
            <v>在职</v>
          </cell>
          <cell r="D244" t="str">
            <v>ericyu</v>
          </cell>
          <cell r="E244" t="str">
            <v>KA销售中心</v>
          </cell>
          <cell r="F244" t="str">
            <v>渠道合作组-华北区</v>
          </cell>
          <cell r="G244" t="str">
            <v/>
          </cell>
        </row>
        <row r="245">
          <cell r="A245" t="str">
            <v>刘勋</v>
          </cell>
          <cell r="B245" t="str">
            <v>13798292832</v>
          </cell>
          <cell r="C245" t="str">
            <v>在职</v>
          </cell>
          <cell r="D245" t="str">
            <v>xunliu</v>
          </cell>
          <cell r="E245" t="str">
            <v>基础平台中心</v>
          </cell>
          <cell r="F245" t="str">
            <v>测试运维组</v>
          </cell>
          <cell r="G245" t="str">
            <v>快消测试组</v>
          </cell>
        </row>
        <row r="246">
          <cell r="A246" t="str">
            <v>唐丽</v>
          </cell>
          <cell r="B246" t="str">
            <v>18511753305</v>
          </cell>
          <cell r="C246" t="str">
            <v>在职</v>
          </cell>
          <cell r="D246" t="str">
            <v>candytang</v>
          </cell>
          <cell r="E246" t="str">
            <v>直播平台中心</v>
          </cell>
          <cell r="F246" t="str">
            <v>前端平台开发组</v>
          </cell>
          <cell r="G246" t="str">
            <v/>
          </cell>
        </row>
        <row r="247">
          <cell r="A247" t="str">
            <v>尹家荣</v>
          </cell>
          <cell r="B247" t="str">
            <v>13870933783</v>
          </cell>
          <cell r="C247" t="str">
            <v>在职</v>
          </cell>
          <cell r="D247" t="str">
            <v>kazikeyin</v>
          </cell>
          <cell r="E247" t="str">
            <v>基础平台中心</v>
          </cell>
          <cell r="F247" t="str">
            <v>测试运维组</v>
          </cell>
          <cell r="G247" t="str">
            <v>教培测试组</v>
          </cell>
        </row>
        <row r="248">
          <cell r="A248" t="str">
            <v>曾雄</v>
          </cell>
          <cell r="B248" t="str">
            <v>18725713609</v>
          </cell>
          <cell r="C248" t="str">
            <v>在职</v>
          </cell>
          <cell r="D248" t="str">
            <v>daniesezeng</v>
          </cell>
          <cell r="E248" t="str">
            <v>基础平台中心</v>
          </cell>
          <cell r="F248" t="str">
            <v>测试运维组</v>
          </cell>
          <cell r="G248" t="str">
            <v>基础运维组</v>
          </cell>
        </row>
        <row r="249">
          <cell r="A249" t="str">
            <v>夏敏</v>
          </cell>
          <cell r="B249" t="str">
            <v>18373151367</v>
          </cell>
          <cell r="C249" t="str">
            <v>在职</v>
          </cell>
          <cell r="D249" t="str">
            <v>teresaxia</v>
          </cell>
          <cell r="E249" t="str">
            <v>基础平台中心</v>
          </cell>
          <cell r="F249" t="str">
            <v>测试运维组</v>
          </cell>
          <cell r="G249" t="str">
            <v>教培测试组</v>
          </cell>
        </row>
        <row r="250">
          <cell r="A250" t="str">
            <v>娄建</v>
          </cell>
          <cell r="B250" t="str">
            <v>18823335590</v>
          </cell>
          <cell r="C250" t="str">
            <v>在职</v>
          </cell>
          <cell r="D250" t="str">
            <v>barrylou</v>
          </cell>
          <cell r="E250" t="str">
            <v>基础平台中心</v>
          </cell>
          <cell r="F250" t="str">
            <v>测试运维组</v>
          </cell>
          <cell r="G250" t="str">
            <v>快消测试组</v>
          </cell>
        </row>
        <row r="251">
          <cell r="A251" t="str">
            <v>朱文兵</v>
          </cell>
          <cell r="B251" t="str">
            <v>15623977731</v>
          </cell>
          <cell r="C251" t="str">
            <v>在职</v>
          </cell>
          <cell r="D251" t="str">
            <v>beanzhu</v>
          </cell>
          <cell r="E251" t="str">
            <v>基础平台中心</v>
          </cell>
          <cell r="F251" t="str">
            <v>测试运维组</v>
          </cell>
          <cell r="G251" t="str">
            <v>基础运维组</v>
          </cell>
        </row>
        <row r="252">
          <cell r="A252" t="str">
            <v>蔡舒贤</v>
          </cell>
          <cell r="B252" t="str">
            <v>13823736972</v>
          </cell>
          <cell r="C252" t="str">
            <v>在职</v>
          </cell>
          <cell r="D252" t="str">
            <v>rubycai</v>
          </cell>
          <cell r="E252" t="str">
            <v>运营支持中心</v>
          </cell>
          <cell r="F252" t="str">
            <v>运营产品组</v>
          </cell>
          <cell r="G252" t="str">
            <v/>
          </cell>
        </row>
        <row r="253">
          <cell r="A253" t="str">
            <v>张学洋</v>
          </cell>
          <cell r="B253" t="str">
            <v>18307618190</v>
          </cell>
          <cell r="C253" t="str">
            <v>在职</v>
          </cell>
          <cell r="D253" t="str">
            <v>ezrealzhang</v>
          </cell>
          <cell r="E253" t="str">
            <v>直播平台中心</v>
          </cell>
          <cell r="F253" t="str">
            <v>直播质量组</v>
          </cell>
          <cell r="G253" t="str">
            <v/>
          </cell>
        </row>
        <row r="254">
          <cell r="A254" t="str">
            <v>易明</v>
          </cell>
          <cell r="B254" t="str">
            <v>13015911590</v>
          </cell>
          <cell r="C254" t="str">
            <v>在职</v>
          </cell>
          <cell r="D254" t="str">
            <v>rockyi</v>
          </cell>
          <cell r="E254" t="str">
            <v>直播平台中心</v>
          </cell>
          <cell r="F254" t="str">
            <v>直播质量组</v>
          </cell>
          <cell r="G254" t="str">
            <v/>
          </cell>
        </row>
        <row r="255">
          <cell r="A255" t="str">
            <v>朱冬颖</v>
          </cell>
          <cell r="B255" t="str">
            <v>13537538277</v>
          </cell>
          <cell r="C255" t="str">
            <v>在职</v>
          </cell>
          <cell r="D255" t="str">
            <v>dongyingzhu</v>
          </cell>
          <cell r="E255" t="str">
            <v>产品运营中心</v>
          </cell>
          <cell r="F255" t="str">
            <v>客户服务组</v>
          </cell>
          <cell r="G255" t="str">
            <v>基础管家一组</v>
          </cell>
        </row>
        <row r="256">
          <cell r="A256" t="str">
            <v>孙连玉</v>
          </cell>
          <cell r="B256" t="str">
            <v>13040896808</v>
          </cell>
          <cell r="C256" t="str">
            <v>在职</v>
          </cell>
          <cell r="D256" t="str">
            <v>jadesun</v>
          </cell>
          <cell r="E256" t="str">
            <v>生态运营中心</v>
          </cell>
          <cell r="F256" t="str">
            <v>KA运营组</v>
          </cell>
          <cell r="G256" t="str">
            <v/>
          </cell>
        </row>
        <row r="257">
          <cell r="A257" t="str">
            <v>张雅珉</v>
          </cell>
          <cell r="B257" t="str">
            <v>13717081773</v>
          </cell>
          <cell r="C257" t="str">
            <v>在职</v>
          </cell>
          <cell r="D257" t="str">
            <v>clytzezhang</v>
          </cell>
          <cell r="E257" t="str">
            <v>自营销售中心</v>
          </cell>
          <cell r="F257" t="str">
            <v>自营服务支持组</v>
          </cell>
          <cell r="G257" t="str">
            <v/>
          </cell>
        </row>
        <row r="258">
          <cell r="A258" t="str">
            <v>张学聪</v>
          </cell>
          <cell r="B258" t="str">
            <v>15217460430</v>
          </cell>
          <cell r="C258" t="str">
            <v>在职</v>
          </cell>
          <cell r="D258" t="str">
            <v>jaimezhang</v>
          </cell>
          <cell r="E258" t="str">
            <v>基础平台中心</v>
          </cell>
          <cell r="F258" t="str">
            <v>前端开发组</v>
          </cell>
          <cell r="G258" t="str">
            <v/>
          </cell>
        </row>
        <row r="259">
          <cell r="A259" t="str">
            <v>王文韬</v>
          </cell>
          <cell r="B259" t="str">
            <v>13918495716</v>
          </cell>
          <cell r="C259" t="str">
            <v>在职</v>
          </cell>
          <cell r="D259" t="str">
            <v>ttaowang</v>
          </cell>
          <cell r="E259" t="str">
            <v>中心负责人</v>
          </cell>
          <cell r="F259" t="str">
            <v/>
          </cell>
          <cell r="G259" t="str">
            <v/>
          </cell>
        </row>
        <row r="260">
          <cell r="A260" t="str">
            <v>叶泽江</v>
          </cell>
          <cell r="B260" t="str">
            <v>17607676622</v>
          </cell>
          <cell r="C260" t="str">
            <v>在职</v>
          </cell>
          <cell r="D260" t="str">
            <v>Karelye</v>
          </cell>
          <cell r="E260" t="str">
            <v>数智平台中心</v>
          </cell>
          <cell r="F260" t="str">
            <v>数智前端组</v>
          </cell>
          <cell r="G260" t="str">
            <v/>
          </cell>
        </row>
        <row r="261">
          <cell r="A261" t="str">
            <v>杨佳兵</v>
          </cell>
          <cell r="B261" t="str">
            <v>18797941332</v>
          </cell>
          <cell r="C261" t="str">
            <v>在职</v>
          </cell>
          <cell r="D261" t="str">
            <v>miyayang</v>
          </cell>
          <cell r="E261" t="str">
            <v>企培产品中心</v>
          </cell>
          <cell r="F261" t="str">
            <v>企培研发组</v>
          </cell>
          <cell r="G261" t="str">
            <v/>
          </cell>
        </row>
        <row r="262">
          <cell r="A262" t="str">
            <v>董徐佳文</v>
          </cell>
          <cell r="B262" t="str">
            <v>18916907348</v>
          </cell>
          <cell r="C262" t="str">
            <v>在职</v>
          </cell>
          <cell r="D262" t="str">
            <v>nickdong</v>
          </cell>
          <cell r="E262" t="str">
            <v>生态运营中心</v>
          </cell>
          <cell r="F262" t="str">
            <v>KA运营组</v>
          </cell>
          <cell r="G262" t="str">
            <v/>
          </cell>
        </row>
        <row r="263">
          <cell r="A263" t="str">
            <v>赖培玲</v>
          </cell>
          <cell r="B263" t="str">
            <v>15817374811</v>
          </cell>
          <cell r="C263" t="str">
            <v>在职</v>
          </cell>
          <cell r="D263" t="str">
            <v>bonnielai</v>
          </cell>
          <cell r="E263" t="str">
            <v>企培产品中心</v>
          </cell>
          <cell r="F263" t="str">
            <v>客户组</v>
          </cell>
          <cell r="G263" t="str">
            <v/>
          </cell>
        </row>
        <row r="264">
          <cell r="A264" t="str">
            <v>凌翔</v>
          </cell>
          <cell r="B264" t="str">
            <v>13640888629</v>
          </cell>
          <cell r="C264" t="str">
            <v>在职</v>
          </cell>
          <cell r="D264" t="str">
            <v>georgeling</v>
          </cell>
          <cell r="E264" t="str">
            <v>学习产品中心</v>
          </cell>
          <cell r="F264" t="str">
            <v>学习平台组</v>
          </cell>
          <cell r="G264" t="str">
            <v/>
          </cell>
        </row>
        <row r="265">
          <cell r="A265" t="str">
            <v>刘文涛</v>
          </cell>
          <cell r="B265" t="str">
            <v>17718510085</v>
          </cell>
          <cell r="C265" t="str">
            <v>在职</v>
          </cell>
          <cell r="D265" t="str">
            <v>wentaoliu</v>
          </cell>
          <cell r="E265" t="str">
            <v>KA销售中心</v>
          </cell>
          <cell r="F265" t="str">
            <v>KA销售组</v>
          </cell>
          <cell r="G265" t="str">
            <v/>
          </cell>
        </row>
        <row r="266">
          <cell r="A266" t="str">
            <v>郭正瑜琼</v>
          </cell>
          <cell r="B266" t="str">
            <v>18823793154</v>
          </cell>
          <cell r="C266" t="str">
            <v>在职</v>
          </cell>
          <cell r="D266" t="str">
            <v>laraguo</v>
          </cell>
          <cell r="E266" t="str">
            <v>营销产品中心</v>
          </cell>
          <cell r="F266" t="str">
            <v>营销前端组</v>
          </cell>
          <cell r="G266" t="str">
            <v/>
          </cell>
        </row>
        <row r="267">
          <cell r="A267" t="str">
            <v>余丽珊</v>
          </cell>
          <cell r="B267" t="str">
            <v>18165727247</v>
          </cell>
          <cell r="C267" t="str">
            <v>在职</v>
          </cell>
          <cell r="D267" t="str">
            <v>lisayu</v>
          </cell>
          <cell r="E267" t="str">
            <v>运营支持中心</v>
          </cell>
          <cell r="F267" t="str">
            <v>法务组</v>
          </cell>
          <cell r="G267" t="str">
            <v/>
          </cell>
        </row>
        <row r="268">
          <cell r="A268" t="str">
            <v>高咪</v>
          </cell>
          <cell r="B268" t="str">
            <v>18289646176</v>
          </cell>
          <cell r="C268" t="str">
            <v>在职</v>
          </cell>
          <cell r="D268" t="str">
            <v>maggiegao</v>
          </cell>
          <cell r="E268" t="str">
            <v>产品运营中心</v>
          </cell>
          <cell r="F268" t="str">
            <v>运营组</v>
          </cell>
          <cell r="G268" t="str">
            <v/>
          </cell>
        </row>
        <row r="269">
          <cell r="A269" t="str">
            <v>张红娟</v>
          </cell>
          <cell r="B269" t="str">
            <v>18513622905</v>
          </cell>
          <cell r="C269" t="str">
            <v>在职</v>
          </cell>
          <cell r="D269" t="str">
            <v>valeriezhang</v>
          </cell>
          <cell r="E269" t="str">
            <v>生态运营中心</v>
          </cell>
          <cell r="F269" t="str">
            <v>生态行业运营组</v>
          </cell>
          <cell r="G269" t="str">
            <v/>
          </cell>
        </row>
        <row r="270">
          <cell r="A270" t="str">
            <v>龙玉善</v>
          </cell>
          <cell r="B270" t="str">
            <v>13910331506</v>
          </cell>
          <cell r="C270" t="str">
            <v>在职</v>
          </cell>
          <cell r="D270" t="str">
            <v>dazylong</v>
          </cell>
          <cell r="E270" t="str">
            <v>营销产品中心</v>
          </cell>
          <cell r="F270" t="str">
            <v>营销产品组</v>
          </cell>
          <cell r="G270" t="str">
            <v/>
          </cell>
        </row>
        <row r="271">
          <cell r="A271" t="str">
            <v>余国才</v>
          </cell>
          <cell r="B271" t="str">
            <v>13631575382</v>
          </cell>
          <cell r="C271" t="str">
            <v>在职</v>
          </cell>
          <cell r="D271" t="str">
            <v>kocoryu</v>
          </cell>
          <cell r="E271" t="str">
            <v>直播产品中心</v>
          </cell>
          <cell r="F271" t="str">
            <v>后台二组</v>
          </cell>
          <cell r="G271" t="str">
            <v/>
          </cell>
        </row>
        <row r="272">
          <cell r="A272" t="str">
            <v>李志杰</v>
          </cell>
          <cell r="B272" t="str">
            <v>13005339380</v>
          </cell>
          <cell r="C272" t="str">
            <v>在职</v>
          </cell>
          <cell r="D272" t="str">
            <v>jayli</v>
          </cell>
          <cell r="E272" t="str">
            <v>企培产品中心</v>
          </cell>
          <cell r="F272" t="str">
            <v>企培研发组</v>
          </cell>
          <cell r="G272" t="str">
            <v/>
          </cell>
        </row>
        <row r="273">
          <cell r="A273" t="str">
            <v>郑伟钊</v>
          </cell>
          <cell r="B273" t="str">
            <v>18814125672</v>
          </cell>
          <cell r="C273" t="str">
            <v>在职</v>
          </cell>
          <cell r="D273" t="str">
            <v>jonyzheng</v>
          </cell>
          <cell r="E273" t="str">
            <v>数智平台中心</v>
          </cell>
          <cell r="F273" t="str">
            <v>数智后台一组</v>
          </cell>
          <cell r="G273" t="str">
            <v/>
          </cell>
        </row>
        <row r="274">
          <cell r="A274" t="str">
            <v>高尚</v>
          </cell>
          <cell r="B274" t="str">
            <v>18703315941</v>
          </cell>
          <cell r="C274" t="str">
            <v>在职</v>
          </cell>
          <cell r="D274" t="str">
            <v>shanggao</v>
          </cell>
          <cell r="E274" t="str">
            <v>KA销售中心</v>
          </cell>
          <cell r="F274" t="str">
            <v>渠道合作组-西南区</v>
          </cell>
          <cell r="G274" t="str">
            <v/>
          </cell>
        </row>
        <row r="275">
          <cell r="A275" t="str">
            <v>张鸿彬</v>
          </cell>
          <cell r="B275" t="str">
            <v>15813833154</v>
          </cell>
          <cell r="C275" t="str">
            <v>在职</v>
          </cell>
          <cell r="D275" t="str">
            <v>sevenzhang</v>
          </cell>
          <cell r="E275" t="str">
            <v>学习产品中心</v>
          </cell>
          <cell r="F275" t="str">
            <v>助学业务组</v>
          </cell>
          <cell r="G275" t="str">
            <v/>
          </cell>
        </row>
        <row r="276">
          <cell r="A276" t="str">
            <v>幸观圣</v>
          </cell>
          <cell r="B276" t="str">
            <v>15779400850</v>
          </cell>
          <cell r="C276" t="str">
            <v>在职</v>
          </cell>
          <cell r="D276" t="str">
            <v>xavierxing</v>
          </cell>
          <cell r="E276" t="str">
            <v>数智平台中心</v>
          </cell>
          <cell r="F276" t="str">
            <v>数据仓库组</v>
          </cell>
          <cell r="G276" t="str">
            <v/>
          </cell>
        </row>
        <row r="277">
          <cell r="A277" t="str">
            <v>杨光耀</v>
          </cell>
          <cell r="B277" t="str">
            <v>18344363446</v>
          </cell>
          <cell r="C277" t="str">
            <v>在职</v>
          </cell>
          <cell r="D277" t="str">
            <v>conleyyang</v>
          </cell>
          <cell r="E277" t="str">
            <v>企培产品中心</v>
          </cell>
          <cell r="F277" t="str">
            <v>企培研发组</v>
          </cell>
          <cell r="G277" t="str">
            <v/>
          </cell>
        </row>
        <row r="278">
          <cell r="A278" t="str">
            <v>唐敏</v>
          </cell>
          <cell r="B278" t="str">
            <v>18873401261</v>
          </cell>
          <cell r="C278" t="str">
            <v>在职</v>
          </cell>
          <cell r="D278" t="str">
            <v>mintang</v>
          </cell>
          <cell r="E278" t="str">
            <v>基础平台中心</v>
          </cell>
          <cell r="F278" t="str">
            <v>测试运维组</v>
          </cell>
          <cell r="G278" t="str">
            <v>快消测试组</v>
          </cell>
        </row>
        <row r="279">
          <cell r="A279" t="str">
            <v>陈飞</v>
          </cell>
          <cell r="B279" t="str">
            <v>15618327762</v>
          </cell>
          <cell r="C279" t="str">
            <v>在职</v>
          </cell>
          <cell r="D279" t="str">
            <v>davidchen</v>
          </cell>
          <cell r="E279" t="str">
            <v>生态运营中心</v>
          </cell>
          <cell r="F279" t="str">
            <v>KA运营组</v>
          </cell>
          <cell r="G279" t="str">
            <v/>
          </cell>
        </row>
        <row r="280">
          <cell r="A280" t="str">
            <v>郑雅浩</v>
          </cell>
          <cell r="B280" t="str">
            <v>18704851071</v>
          </cell>
          <cell r="C280" t="str">
            <v>在职</v>
          </cell>
          <cell r="D280" t="str">
            <v>yahaozheng</v>
          </cell>
          <cell r="E280" t="str">
            <v>数智平台中心</v>
          </cell>
          <cell r="F280" t="str">
            <v>数据仓库组</v>
          </cell>
          <cell r="G280" t="str">
            <v/>
          </cell>
        </row>
        <row r="281">
          <cell r="A281" t="str">
            <v>彭凯</v>
          </cell>
          <cell r="B281" t="str">
            <v>18588983154</v>
          </cell>
          <cell r="C281" t="str">
            <v>在职</v>
          </cell>
          <cell r="D281" t="str">
            <v>rickypeng</v>
          </cell>
          <cell r="E281" t="str">
            <v>学习产品中心</v>
          </cell>
          <cell r="F281" t="str">
            <v>助学业务组</v>
          </cell>
          <cell r="G281" t="str">
            <v/>
          </cell>
        </row>
        <row r="282">
          <cell r="A282" t="str">
            <v>王德宝</v>
          </cell>
          <cell r="B282" t="str">
            <v>18675510018</v>
          </cell>
          <cell r="C282" t="str">
            <v>在职</v>
          </cell>
          <cell r="D282" t="str">
            <v>dabaowang</v>
          </cell>
          <cell r="E282" t="str">
            <v>中心负责人</v>
          </cell>
          <cell r="F282" t="str">
            <v/>
          </cell>
          <cell r="G282" t="str">
            <v/>
          </cell>
        </row>
        <row r="283">
          <cell r="A283" t="str">
            <v>周椅梨</v>
          </cell>
          <cell r="B283" t="str">
            <v>15013647288</v>
          </cell>
          <cell r="C283" t="str">
            <v>在职</v>
          </cell>
          <cell r="D283" t="str">
            <v>leahzhou</v>
          </cell>
          <cell r="E283" t="str">
            <v>产品运营中心</v>
          </cell>
          <cell r="F283" t="str">
            <v>客户服务组</v>
          </cell>
          <cell r="G283" t="str">
            <v>基础管家一组</v>
          </cell>
        </row>
        <row r="284">
          <cell r="A284" t="str">
            <v>马若丹</v>
          </cell>
          <cell r="B284" t="str">
            <v>15210283954</v>
          </cell>
          <cell r="C284" t="str">
            <v>在职</v>
          </cell>
          <cell r="D284" t="str">
            <v>ruodanma</v>
          </cell>
          <cell r="E284" t="str">
            <v>生态运营中心</v>
          </cell>
          <cell r="F284" t="str">
            <v>KA运营组</v>
          </cell>
          <cell r="G284" t="str">
            <v/>
          </cell>
        </row>
        <row r="285">
          <cell r="A285" t="str">
            <v>包金红</v>
          </cell>
          <cell r="B285" t="str">
            <v>18832627397</v>
          </cell>
          <cell r="C285" t="str">
            <v>在职</v>
          </cell>
          <cell r="D285" t="str">
            <v>vickybao</v>
          </cell>
          <cell r="E285" t="str">
            <v>KA销售中心</v>
          </cell>
          <cell r="F285" t="str">
            <v>KA销售组</v>
          </cell>
          <cell r="G285" t="str">
            <v/>
          </cell>
        </row>
        <row r="286">
          <cell r="A286" t="str">
            <v>邓爱娟</v>
          </cell>
          <cell r="B286" t="str">
            <v>15899859778</v>
          </cell>
          <cell r="C286" t="str">
            <v>在职</v>
          </cell>
          <cell r="D286" t="str">
            <v>dianadeng</v>
          </cell>
          <cell r="E286" t="str">
            <v>战略投资中心</v>
          </cell>
          <cell r="F286" t="str">
            <v>风控组</v>
          </cell>
          <cell r="G286" t="str">
            <v/>
          </cell>
        </row>
        <row r="287">
          <cell r="A287" t="str">
            <v>傅英</v>
          </cell>
          <cell r="B287" t="str">
            <v>18801239925</v>
          </cell>
          <cell r="C287" t="str">
            <v>在职</v>
          </cell>
          <cell r="D287" t="str">
            <v>irisfu</v>
          </cell>
          <cell r="E287" t="str">
            <v>KA销售中心</v>
          </cell>
          <cell r="F287" t="str">
            <v>渠道服务支持组</v>
          </cell>
          <cell r="G287" t="str">
            <v/>
          </cell>
        </row>
        <row r="288">
          <cell r="A288" t="str">
            <v>高进朝</v>
          </cell>
          <cell r="B288" t="str">
            <v>18520814617</v>
          </cell>
          <cell r="C288" t="str">
            <v>在职</v>
          </cell>
          <cell r="D288" t="str">
            <v>frankgao</v>
          </cell>
          <cell r="E288" t="str">
            <v>中心负责人</v>
          </cell>
          <cell r="F288" t="str">
            <v/>
          </cell>
          <cell r="G288" t="str">
            <v/>
          </cell>
        </row>
        <row r="289">
          <cell r="A289" t="str">
            <v>刘军辉</v>
          </cell>
          <cell r="B289" t="str">
            <v>13728793390</v>
          </cell>
          <cell r="C289" t="str">
            <v>在职</v>
          </cell>
          <cell r="D289" t="str">
            <v>amyliu</v>
          </cell>
          <cell r="E289" t="str">
            <v>综合职能中心</v>
          </cell>
          <cell r="F289" t="str">
            <v>人力组</v>
          </cell>
          <cell r="G289" t="str">
            <v>招聘BP组</v>
          </cell>
        </row>
        <row r="290">
          <cell r="A290" t="str">
            <v>王博</v>
          </cell>
          <cell r="B290" t="str">
            <v>18696412049</v>
          </cell>
          <cell r="C290" t="str">
            <v>在职</v>
          </cell>
          <cell r="D290" t="str">
            <v>bowang</v>
          </cell>
          <cell r="E290" t="str">
            <v>学习产品中心</v>
          </cell>
          <cell r="F290" t="str">
            <v>课程业务组</v>
          </cell>
          <cell r="G290" t="str">
            <v/>
          </cell>
        </row>
        <row r="291">
          <cell r="A291" t="str">
            <v>王钦</v>
          </cell>
          <cell r="B291" t="str">
            <v>13027258153</v>
          </cell>
          <cell r="C291" t="str">
            <v>在职</v>
          </cell>
          <cell r="D291" t="str">
            <v>jacksonwang</v>
          </cell>
          <cell r="E291" t="str">
            <v>基础平台中心</v>
          </cell>
          <cell r="F291" t="str">
            <v>效能平台组</v>
          </cell>
          <cell r="G291" t="str">
            <v/>
          </cell>
        </row>
        <row r="292">
          <cell r="A292" t="str">
            <v>赖广琪</v>
          </cell>
          <cell r="B292" t="str">
            <v>13418841701</v>
          </cell>
          <cell r="C292" t="str">
            <v>在职</v>
          </cell>
          <cell r="D292" t="str">
            <v>lymanlai</v>
          </cell>
          <cell r="E292" t="str">
            <v>品牌运营中心</v>
          </cell>
          <cell r="F292" t="str">
            <v>直播运营组</v>
          </cell>
          <cell r="G292" t="str">
            <v/>
          </cell>
        </row>
        <row r="293">
          <cell r="A293" t="str">
            <v>马媛媛</v>
          </cell>
          <cell r="B293" t="str">
            <v>13316514180</v>
          </cell>
          <cell r="C293" t="str">
            <v>在职</v>
          </cell>
          <cell r="D293" t="str">
            <v>yuanyuanma</v>
          </cell>
          <cell r="E293" t="str">
            <v>产品运营中心</v>
          </cell>
          <cell r="F293" t="str">
            <v>客户服务组</v>
          </cell>
          <cell r="G293" t="str">
            <v>综合课程专项组</v>
          </cell>
        </row>
        <row r="294">
          <cell r="A294" t="str">
            <v>梁紫君</v>
          </cell>
          <cell r="B294" t="str">
            <v>15889449389</v>
          </cell>
          <cell r="C294" t="str">
            <v>在职</v>
          </cell>
          <cell r="D294" t="str">
            <v>sageliang</v>
          </cell>
          <cell r="E294" t="str">
            <v>直播平台中心</v>
          </cell>
          <cell r="F294" t="str">
            <v>前端应用开发组</v>
          </cell>
          <cell r="G294" t="str">
            <v/>
          </cell>
        </row>
        <row r="295">
          <cell r="A295" t="str">
            <v>吴云帆</v>
          </cell>
          <cell r="B295" t="str">
            <v>18270953103</v>
          </cell>
          <cell r="C295" t="str">
            <v>在职</v>
          </cell>
          <cell r="D295" t="str">
            <v>cloudwu</v>
          </cell>
          <cell r="E295" t="str">
            <v>基础平台中心</v>
          </cell>
          <cell r="F295" t="str">
            <v>效能平台组</v>
          </cell>
          <cell r="G295" t="str">
            <v/>
          </cell>
        </row>
        <row r="296">
          <cell r="A296" t="str">
            <v>赵志伟</v>
          </cell>
          <cell r="B296" t="str">
            <v>18282906067</v>
          </cell>
          <cell r="C296" t="str">
            <v>在职</v>
          </cell>
          <cell r="D296" t="str">
            <v>daviszhao</v>
          </cell>
          <cell r="E296" t="str">
            <v>营销产品中心</v>
          </cell>
          <cell r="F296" t="str">
            <v>营销后台组</v>
          </cell>
          <cell r="G296" t="str">
            <v/>
          </cell>
        </row>
        <row r="297">
          <cell r="A297" t="str">
            <v>林云</v>
          </cell>
          <cell r="B297" t="str">
            <v>13502835287</v>
          </cell>
          <cell r="C297" t="str">
            <v>在职</v>
          </cell>
          <cell r="D297" t="str">
            <v>vinsonlin</v>
          </cell>
          <cell r="E297" t="str">
            <v>直播平台中心</v>
          </cell>
          <cell r="F297" t="str">
            <v>客户端开发组</v>
          </cell>
          <cell r="G297" t="str">
            <v/>
          </cell>
        </row>
        <row r="298">
          <cell r="A298" t="str">
            <v>付斌</v>
          </cell>
          <cell r="B298" t="str">
            <v>15279672990</v>
          </cell>
          <cell r="C298" t="str">
            <v>在职</v>
          </cell>
          <cell r="D298" t="str">
            <v>binfu</v>
          </cell>
          <cell r="E298" t="str">
            <v>自营销售中心</v>
          </cell>
          <cell r="F298" t="str">
            <v>业务经理组</v>
          </cell>
          <cell r="G298" t="str">
            <v/>
          </cell>
        </row>
        <row r="299">
          <cell r="A299" t="str">
            <v>陈小曼</v>
          </cell>
          <cell r="B299" t="str">
            <v>15718364094</v>
          </cell>
          <cell r="C299" t="str">
            <v>在职</v>
          </cell>
          <cell r="D299" t="str">
            <v>sharmachen</v>
          </cell>
          <cell r="E299" t="str">
            <v>基础平台中心</v>
          </cell>
          <cell r="F299" t="str">
            <v>效能平台组</v>
          </cell>
          <cell r="G299" t="str">
            <v/>
          </cell>
        </row>
        <row r="300">
          <cell r="A300" t="str">
            <v>李东泽</v>
          </cell>
          <cell r="B300" t="str">
            <v>18249273328</v>
          </cell>
          <cell r="C300" t="str">
            <v>在职</v>
          </cell>
          <cell r="D300" t="str">
            <v>tomoli</v>
          </cell>
          <cell r="E300" t="str">
            <v>直播平台中心</v>
          </cell>
          <cell r="F300" t="str">
            <v>直播产品组</v>
          </cell>
          <cell r="G300" t="str">
            <v/>
          </cell>
        </row>
        <row r="301">
          <cell r="A301" t="str">
            <v>陈燕霞</v>
          </cell>
          <cell r="B301" t="str">
            <v>13242259804</v>
          </cell>
          <cell r="C301" t="str">
            <v>在职</v>
          </cell>
          <cell r="D301" t="str">
            <v>yamychen</v>
          </cell>
          <cell r="E301" t="str">
            <v>战略投资中心</v>
          </cell>
          <cell r="F301" t="str">
            <v>风控组</v>
          </cell>
          <cell r="G301" t="str">
            <v/>
          </cell>
        </row>
        <row r="302">
          <cell r="A302" t="str">
            <v>杨增智</v>
          </cell>
          <cell r="B302" t="str">
            <v>18316699134</v>
          </cell>
          <cell r="C302" t="str">
            <v>在职</v>
          </cell>
          <cell r="D302" t="str">
            <v>leoyang</v>
          </cell>
          <cell r="E302" t="str">
            <v>产品运营中心</v>
          </cell>
          <cell r="F302" t="str">
            <v>客户服务组</v>
          </cell>
          <cell r="G302" t="str">
            <v>基础管家一组</v>
          </cell>
        </row>
        <row r="303">
          <cell r="A303" t="str">
            <v>冯文强</v>
          </cell>
          <cell r="B303" t="str">
            <v>15761633612</v>
          </cell>
          <cell r="C303" t="str">
            <v>在职</v>
          </cell>
          <cell r="D303" t="str">
            <v>wenqiangfeng</v>
          </cell>
          <cell r="E303" t="str">
            <v>学习产品中心</v>
          </cell>
          <cell r="F303" t="str">
            <v>圈子业务组</v>
          </cell>
          <cell r="G303" t="str">
            <v/>
          </cell>
        </row>
        <row r="304">
          <cell r="A304" t="str">
            <v>张卓</v>
          </cell>
          <cell r="B304" t="str">
            <v>15652967931</v>
          </cell>
          <cell r="C304" t="str">
            <v>在职</v>
          </cell>
          <cell r="D304" t="str">
            <v>henryzhang</v>
          </cell>
          <cell r="E304" t="str">
            <v>产品运营中心</v>
          </cell>
          <cell r="F304" t="str">
            <v>基础产品组</v>
          </cell>
          <cell r="G304" t="str">
            <v/>
          </cell>
        </row>
        <row r="305">
          <cell r="A305" t="str">
            <v>王仲瑜</v>
          </cell>
          <cell r="B305" t="str">
            <v>15521007842</v>
          </cell>
          <cell r="C305" t="str">
            <v>在职</v>
          </cell>
          <cell r="D305" t="str">
            <v>zoeywang</v>
          </cell>
          <cell r="E305" t="str">
            <v>品牌运营中心</v>
          </cell>
          <cell r="F305" t="str">
            <v>训练营运营组</v>
          </cell>
          <cell r="G305" t="str">
            <v>售后训练营组</v>
          </cell>
        </row>
        <row r="306">
          <cell r="A306" t="str">
            <v>贾西贝</v>
          </cell>
          <cell r="B306" t="str">
            <v>17620484626</v>
          </cell>
          <cell r="C306" t="str">
            <v>在职</v>
          </cell>
          <cell r="D306" t="str">
            <v>seibeljia</v>
          </cell>
          <cell r="E306" t="str">
            <v>产品运营中心</v>
          </cell>
          <cell r="F306" t="str">
            <v>产品体验组</v>
          </cell>
          <cell r="G306" t="str">
            <v/>
          </cell>
        </row>
        <row r="307">
          <cell r="A307" t="str">
            <v>宋仲喜</v>
          </cell>
          <cell r="B307" t="str">
            <v>18629357571</v>
          </cell>
          <cell r="C307" t="str">
            <v>在职</v>
          </cell>
          <cell r="D307" t="str">
            <v>miraclesong</v>
          </cell>
          <cell r="E307" t="str">
            <v>基础平台中心</v>
          </cell>
          <cell r="F307" t="str">
            <v>测试运维组</v>
          </cell>
          <cell r="G307" t="str">
            <v>平台测试组</v>
          </cell>
        </row>
        <row r="308">
          <cell r="A308" t="str">
            <v>陈晓倩</v>
          </cell>
          <cell r="B308" t="str">
            <v>18892801080</v>
          </cell>
          <cell r="C308" t="str">
            <v>在职</v>
          </cell>
          <cell r="D308" t="str">
            <v>charchen</v>
          </cell>
          <cell r="E308" t="str">
            <v>电商产品中心</v>
          </cell>
          <cell r="F308" t="str">
            <v>电商前端一组</v>
          </cell>
          <cell r="G308" t="str">
            <v/>
          </cell>
        </row>
        <row r="309">
          <cell r="A309" t="str">
            <v>陈秀燕</v>
          </cell>
          <cell r="B309" t="str">
            <v>13798545631</v>
          </cell>
          <cell r="C309" t="str">
            <v>在职</v>
          </cell>
          <cell r="D309" t="str">
            <v>xiuyanchen</v>
          </cell>
          <cell r="E309" t="str">
            <v>自营销售中心</v>
          </cell>
          <cell r="F309" t="str">
            <v>LA销售组</v>
          </cell>
          <cell r="G309" t="str">
            <v>企服组</v>
          </cell>
        </row>
        <row r="310">
          <cell r="A310" t="str">
            <v>陈嘉琪</v>
          </cell>
          <cell r="B310" t="str">
            <v>15626479366</v>
          </cell>
          <cell r="C310" t="str">
            <v>在职</v>
          </cell>
          <cell r="D310" t="str">
            <v>larakichen</v>
          </cell>
          <cell r="E310" t="str">
            <v>营销产品中心</v>
          </cell>
          <cell r="F310" t="str">
            <v>营销产品组</v>
          </cell>
          <cell r="G310" t="str">
            <v/>
          </cell>
        </row>
        <row r="311">
          <cell r="A311" t="str">
            <v>王黎</v>
          </cell>
          <cell r="B311" t="str">
            <v>15616197114</v>
          </cell>
          <cell r="C311" t="str">
            <v>在职</v>
          </cell>
          <cell r="D311" t="str">
            <v>leahwang</v>
          </cell>
          <cell r="E311" t="str">
            <v>数智平台中心</v>
          </cell>
          <cell r="F311" t="str">
            <v>数智前端组</v>
          </cell>
          <cell r="G311" t="str">
            <v/>
          </cell>
        </row>
        <row r="312">
          <cell r="A312" t="str">
            <v>陈洪升</v>
          </cell>
          <cell r="B312" t="str">
            <v>13415140903</v>
          </cell>
          <cell r="C312" t="str">
            <v>在职</v>
          </cell>
          <cell r="D312" t="str">
            <v>abelchen</v>
          </cell>
          <cell r="E312" t="str">
            <v>学习产品中心</v>
          </cell>
          <cell r="F312" t="str">
            <v>圈子业务组</v>
          </cell>
          <cell r="G312" t="str">
            <v/>
          </cell>
        </row>
        <row r="313">
          <cell r="A313" t="str">
            <v>叶俊杰</v>
          </cell>
          <cell r="B313" t="str">
            <v>13750054360</v>
          </cell>
          <cell r="C313" t="str">
            <v>在职</v>
          </cell>
          <cell r="D313" t="str">
            <v>justinye</v>
          </cell>
          <cell r="E313" t="str">
            <v>电商产品中心</v>
          </cell>
          <cell r="F313" t="str">
            <v>电商产品组</v>
          </cell>
          <cell r="G313" t="str">
            <v/>
          </cell>
        </row>
        <row r="314">
          <cell r="A314" t="str">
            <v>李艳飞</v>
          </cell>
          <cell r="B314" t="str">
            <v>13631785655</v>
          </cell>
          <cell r="C314" t="str">
            <v>在职</v>
          </cell>
          <cell r="D314" t="str">
            <v>philli</v>
          </cell>
          <cell r="E314" t="str">
            <v>电商产品中心</v>
          </cell>
          <cell r="F314" t="str">
            <v>电商后台二组</v>
          </cell>
          <cell r="G314" t="str">
            <v/>
          </cell>
        </row>
        <row r="315">
          <cell r="A315" t="str">
            <v>李正勇</v>
          </cell>
          <cell r="B315" t="str">
            <v>18725728046</v>
          </cell>
          <cell r="C315" t="str">
            <v>在职</v>
          </cell>
          <cell r="D315" t="str">
            <v>zhengyongli</v>
          </cell>
          <cell r="E315" t="str">
            <v>基础平台中心</v>
          </cell>
          <cell r="F315" t="str">
            <v>测试运维组</v>
          </cell>
          <cell r="G315" t="str">
            <v>快消测试组</v>
          </cell>
        </row>
        <row r="316">
          <cell r="A316" t="str">
            <v>蔡智豪</v>
          </cell>
          <cell r="B316" t="str">
            <v>18328584693</v>
          </cell>
          <cell r="C316" t="str">
            <v>在职</v>
          </cell>
          <cell r="D316" t="str">
            <v>zhihaocai</v>
          </cell>
          <cell r="E316" t="str">
            <v>KA销售中心</v>
          </cell>
          <cell r="F316" t="str">
            <v>渠道合作组-西南区</v>
          </cell>
          <cell r="G316" t="str">
            <v/>
          </cell>
        </row>
        <row r="317">
          <cell r="A317" t="str">
            <v>李岩凇</v>
          </cell>
          <cell r="B317" t="str">
            <v>18246332066</v>
          </cell>
          <cell r="C317" t="str">
            <v>在职</v>
          </cell>
          <cell r="D317" t="str">
            <v>yansongli</v>
          </cell>
          <cell r="E317" t="str">
            <v>基础平台中心</v>
          </cell>
          <cell r="F317" t="str">
            <v>素材中心组</v>
          </cell>
          <cell r="G317" t="str">
            <v/>
          </cell>
        </row>
        <row r="318">
          <cell r="A318" t="str">
            <v>白金辉</v>
          </cell>
          <cell r="B318" t="str">
            <v>15110249255</v>
          </cell>
          <cell r="C318" t="str">
            <v>在职</v>
          </cell>
          <cell r="D318" t="str">
            <v>lucienbai</v>
          </cell>
          <cell r="E318" t="str">
            <v>学习产品中心</v>
          </cell>
          <cell r="F318" t="str">
            <v>APP业务组</v>
          </cell>
          <cell r="G318" t="str">
            <v/>
          </cell>
        </row>
        <row r="319">
          <cell r="A319" t="str">
            <v>施佳丽</v>
          </cell>
          <cell r="B319" t="str">
            <v>18379005259</v>
          </cell>
          <cell r="C319" t="str">
            <v>在职</v>
          </cell>
          <cell r="D319" t="str">
            <v>scarletteshi</v>
          </cell>
          <cell r="E319" t="str">
            <v>电商产品中心</v>
          </cell>
          <cell r="F319" t="str">
            <v>电商前端一组</v>
          </cell>
          <cell r="G319" t="str">
            <v/>
          </cell>
        </row>
        <row r="320">
          <cell r="A320" t="str">
            <v>王珂</v>
          </cell>
          <cell r="B320" t="str">
            <v>15538809752</v>
          </cell>
          <cell r="C320" t="str">
            <v>在职</v>
          </cell>
          <cell r="D320" t="str">
            <v>kewang</v>
          </cell>
          <cell r="E320" t="str">
            <v>基础平台中心</v>
          </cell>
          <cell r="F320" t="str">
            <v>账号平台组</v>
          </cell>
          <cell r="G320" t="str">
            <v/>
          </cell>
        </row>
        <row r="321">
          <cell r="A321" t="str">
            <v>刘宗信</v>
          </cell>
          <cell r="B321" t="str">
            <v>18723031678</v>
          </cell>
          <cell r="C321" t="str">
            <v>在职</v>
          </cell>
          <cell r="D321" t="str">
            <v>zongxinliu</v>
          </cell>
          <cell r="E321" t="str">
            <v>电商产品中心</v>
          </cell>
          <cell r="F321" t="str">
            <v>电商前端二组</v>
          </cell>
          <cell r="G321" t="str">
            <v/>
          </cell>
        </row>
        <row r="322">
          <cell r="A322" t="str">
            <v>曾浩杰</v>
          </cell>
          <cell r="B322" t="str">
            <v>13060780817</v>
          </cell>
          <cell r="C322" t="str">
            <v>在职</v>
          </cell>
          <cell r="D322" t="str">
            <v>hokitzeng</v>
          </cell>
          <cell r="E322" t="str">
            <v>营销产品中心</v>
          </cell>
          <cell r="F322" t="str">
            <v>营销后台组</v>
          </cell>
          <cell r="G322" t="str">
            <v/>
          </cell>
        </row>
        <row r="323">
          <cell r="A323" t="str">
            <v>张孝勇</v>
          </cell>
          <cell r="B323" t="str">
            <v>18680068774</v>
          </cell>
          <cell r="C323" t="str">
            <v>在职</v>
          </cell>
          <cell r="D323" t="str">
            <v>stevenzhang</v>
          </cell>
          <cell r="E323" t="str">
            <v>运营支持中心</v>
          </cell>
          <cell r="F323" t="str">
            <v>运营产品组</v>
          </cell>
          <cell r="G323" t="str">
            <v/>
          </cell>
        </row>
        <row r="324">
          <cell r="A324" t="str">
            <v>李代林</v>
          </cell>
          <cell r="B324" t="str">
            <v>15201052289</v>
          </cell>
          <cell r="C324" t="str">
            <v>在职</v>
          </cell>
          <cell r="D324" t="str">
            <v>dailinli</v>
          </cell>
          <cell r="E324" t="str">
            <v>财务中心</v>
          </cell>
          <cell r="F324" t="str">
            <v>财务组</v>
          </cell>
          <cell r="G324" t="str">
            <v/>
          </cell>
        </row>
        <row r="325">
          <cell r="A325" t="str">
            <v>赖曼妮</v>
          </cell>
          <cell r="B325" t="str">
            <v>13421348275</v>
          </cell>
          <cell r="C325" t="str">
            <v>在职</v>
          </cell>
          <cell r="D325" t="str">
            <v>mannilai</v>
          </cell>
          <cell r="E325" t="str">
            <v>产品运营中心</v>
          </cell>
          <cell r="F325" t="str">
            <v>客户服务组</v>
          </cell>
          <cell r="G325" t="str">
            <v>基础管家一组</v>
          </cell>
        </row>
        <row r="326">
          <cell r="A326" t="str">
            <v>孙利权</v>
          </cell>
          <cell r="B326" t="str">
            <v>15655550156</v>
          </cell>
          <cell r="C326" t="str">
            <v>在职</v>
          </cell>
          <cell r="D326" t="str">
            <v>potatosun</v>
          </cell>
          <cell r="E326" t="str">
            <v>数智平台中心</v>
          </cell>
          <cell r="F326" t="str">
            <v>数智后台三组</v>
          </cell>
          <cell r="G326" t="str">
            <v/>
          </cell>
        </row>
        <row r="327">
          <cell r="A327" t="str">
            <v>吴荣壮</v>
          </cell>
          <cell r="B327" t="str">
            <v>13822411859</v>
          </cell>
          <cell r="C327" t="str">
            <v>在职</v>
          </cell>
          <cell r="D327" t="str">
            <v>rongzhuangwu</v>
          </cell>
          <cell r="E327" t="str">
            <v>基础平台中心</v>
          </cell>
          <cell r="F327" t="str">
            <v>账号平台组</v>
          </cell>
          <cell r="G327" t="str">
            <v/>
          </cell>
        </row>
        <row r="328">
          <cell r="A328" t="str">
            <v>陈土麟</v>
          </cell>
          <cell r="B328" t="str">
            <v>13692477981</v>
          </cell>
          <cell r="C328" t="str">
            <v>在职</v>
          </cell>
          <cell r="D328" t="str">
            <v>shychen</v>
          </cell>
          <cell r="E328" t="str">
            <v>基础平台中心</v>
          </cell>
          <cell r="F328" t="str">
            <v>素材中心组</v>
          </cell>
          <cell r="G328" t="str">
            <v/>
          </cell>
        </row>
        <row r="329">
          <cell r="A329" t="str">
            <v>朱开发</v>
          </cell>
          <cell r="B329" t="str">
            <v>18679972887</v>
          </cell>
          <cell r="C329" t="str">
            <v>在职</v>
          </cell>
          <cell r="D329" t="str">
            <v>yaozhu</v>
          </cell>
          <cell r="E329" t="str">
            <v>基础平台中心</v>
          </cell>
          <cell r="F329" t="str">
            <v>基础安全组</v>
          </cell>
          <cell r="G329" t="str">
            <v/>
          </cell>
        </row>
        <row r="330">
          <cell r="A330" t="str">
            <v>陈赛军</v>
          </cell>
          <cell r="B330" t="str">
            <v>13824560944</v>
          </cell>
          <cell r="C330" t="str">
            <v>在职</v>
          </cell>
          <cell r="D330" t="str">
            <v>saijunchen</v>
          </cell>
          <cell r="E330" t="str">
            <v>直播平台中心</v>
          </cell>
          <cell r="F330" t="str">
            <v>直播后台开发组</v>
          </cell>
          <cell r="G330" t="str">
            <v/>
          </cell>
        </row>
        <row r="331">
          <cell r="A331" t="str">
            <v>杨畅</v>
          </cell>
          <cell r="B331" t="str">
            <v>15200993016</v>
          </cell>
          <cell r="C331" t="str">
            <v>在职</v>
          </cell>
          <cell r="D331" t="str">
            <v>mosinyang</v>
          </cell>
          <cell r="E331" t="str">
            <v>基础平台中心</v>
          </cell>
          <cell r="F331" t="str">
            <v>素材中心组</v>
          </cell>
          <cell r="G331" t="str">
            <v/>
          </cell>
        </row>
        <row r="332">
          <cell r="A332" t="str">
            <v>侯佳峰</v>
          </cell>
          <cell r="B332" t="str">
            <v>18500093561</v>
          </cell>
          <cell r="C332" t="str">
            <v>在职</v>
          </cell>
          <cell r="D332" t="str">
            <v>leohou</v>
          </cell>
          <cell r="E332" t="str">
            <v>KA销售中心</v>
          </cell>
          <cell r="F332" t="str">
            <v>渠道服务支持组</v>
          </cell>
          <cell r="G332" t="str">
            <v/>
          </cell>
        </row>
        <row r="333">
          <cell r="A333" t="str">
            <v>李茂湛</v>
          </cell>
          <cell r="B333" t="str">
            <v>15818248467</v>
          </cell>
          <cell r="C333" t="str">
            <v>在职</v>
          </cell>
          <cell r="D333" t="str">
            <v>maozhanli</v>
          </cell>
          <cell r="E333" t="str">
            <v>直播产品中心</v>
          </cell>
          <cell r="F333" t="str">
            <v>后台一组</v>
          </cell>
          <cell r="G333" t="str">
            <v/>
          </cell>
        </row>
        <row r="334">
          <cell r="A334" t="str">
            <v>姚艺昆</v>
          </cell>
          <cell r="B334" t="str">
            <v>13134412925</v>
          </cell>
          <cell r="C334" t="str">
            <v>在职</v>
          </cell>
          <cell r="D334" t="str">
            <v>ikunyao</v>
          </cell>
          <cell r="E334" t="str">
            <v>电商产品中心</v>
          </cell>
          <cell r="F334" t="str">
            <v>电商前端二组</v>
          </cell>
          <cell r="G334" t="str">
            <v/>
          </cell>
        </row>
        <row r="335">
          <cell r="A335" t="str">
            <v>宋璐君</v>
          </cell>
          <cell r="B335" t="str">
            <v>17352626446</v>
          </cell>
          <cell r="C335" t="str">
            <v>在职</v>
          </cell>
          <cell r="D335" t="str">
            <v>lemonsong</v>
          </cell>
          <cell r="E335" t="str">
            <v>营销产品中心</v>
          </cell>
          <cell r="F335" t="str">
            <v>营销前端组</v>
          </cell>
          <cell r="G335" t="str">
            <v/>
          </cell>
        </row>
        <row r="336">
          <cell r="A336" t="str">
            <v>方佳惠</v>
          </cell>
          <cell r="B336" t="str">
            <v>18898604707</v>
          </cell>
          <cell r="C336" t="str">
            <v>在职</v>
          </cell>
          <cell r="D336" t="str">
            <v>finafang</v>
          </cell>
          <cell r="E336" t="str">
            <v>直播平台中心</v>
          </cell>
          <cell r="F336" t="str">
            <v/>
          </cell>
          <cell r="G336" t="str">
            <v/>
          </cell>
        </row>
        <row r="337">
          <cell r="A337" t="str">
            <v>陈家链</v>
          </cell>
          <cell r="B337" t="str">
            <v>15521048114</v>
          </cell>
          <cell r="C337" t="str">
            <v>在职</v>
          </cell>
          <cell r="D337" t="str">
            <v>jialianchen</v>
          </cell>
          <cell r="E337" t="str">
            <v>数智平台中心</v>
          </cell>
          <cell r="F337" t="str">
            <v>数据仓库组</v>
          </cell>
          <cell r="G337" t="str">
            <v/>
          </cell>
        </row>
        <row r="338">
          <cell r="A338" t="str">
            <v>吴康娟</v>
          </cell>
          <cell r="B338" t="str">
            <v>13760245910</v>
          </cell>
          <cell r="C338" t="str">
            <v>在职</v>
          </cell>
          <cell r="D338" t="str">
            <v>hedywu</v>
          </cell>
          <cell r="E338" t="str">
            <v>品牌运营中心</v>
          </cell>
          <cell r="F338" t="str">
            <v>社群运营组</v>
          </cell>
          <cell r="G338" t="str">
            <v/>
          </cell>
        </row>
        <row r="339">
          <cell r="A339" t="str">
            <v>李涛</v>
          </cell>
          <cell r="B339" t="str">
            <v>15575180428</v>
          </cell>
          <cell r="C339" t="str">
            <v>在职</v>
          </cell>
          <cell r="D339" t="str">
            <v>litali</v>
          </cell>
          <cell r="E339" t="str">
            <v>财务中心</v>
          </cell>
          <cell r="F339" t="str">
            <v>财务组</v>
          </cell>
          <cell r="G339" t="str">
            <v/>
          </cell>
        </row>
        <row r="340">
          <cell r="A340" t="str">
            <v>阳花平</v>
          </cell>
          <cell r="B340" t="str">
            <v>18673556376</v>
          </cell>
          <cell r="C340" t="str">
            <v>在职</v>
          </cell>
          <cell r="D340" t="str">
            <v>floweryang</v>
          </cell>
          <cell r="E340" t="str">
            <v>学习产品中心</v>
          </cell>
          <cell r="F340" t="str">
            <v>APP业务组</v>
          </cell>
          <cell r="G340" t="str">
            <v/>
          </cell>
        </row>
        <row r="341">
          <cell r="A341" t="str">
            <v>周王豫鲁</v>
          </cell>
          <cell r="B341" t="str">
            <v>13826052023</v>
          </cell>
          <cell r="C341" t="str">
            <v>在职</v>
          </cell>
          <cell r="D341" t="str">
            <v>alexzhou</v>
          </cell>
          <cell r="E341" t="str">
            <v>产品运营中心</v>
          </cell>
          <cell r="F341" t="str">
            <v>商家产品组</v>
          </cell>
          <cell r="G341" t="str">
            <v/>
          </cell>
        </row>
        <row r="342">
          <cell r="A342" t="str">
            <v>谭凯维</v>
          </cell>
          <cell r="B342" t="str">
            <v>19867716807</v>
          </cell>
          <cell r="C342" t="str">
            <v>在职</v>
          </cell>
          <cell r="D342" t="str">
            <v>karentan</v>
          </cell>
          <cell r="E342" t="str">
            <v>数智平台中心</v>
          </cell>
          <cell r="F342" t="str">
            <v>数智产品组</v>
          </cell>
          <cell r="G342" t="str">
            <v/>
          </cell>
        </row>
        <row r="343">
          <cell r="A343" t="str">
            <v>黄嘉明</v>
          </cell>
          <cell r="B343" t="str">
            <v>13662287272</v>
          </cell>
          <cell r="C343" t="str">
            <v>在职</v>
          </cell>
          <cell r="D343" t="str">
            <v>jaminghuang</v>
          </cell>
          <cell r="E343" t="str">
            <v>直播平台中心</v>
          </cell>
          <cell r="F343" t="str">
            <v>前端应用开发组</v>
          </cell>
          <cell r="G343" t="str">
            <v/>
          </cell>
        </row>
        <row r="344">
          <cell r="A344" t="str">
            <v>张旭东</v>
          </cell>
          <cell r="B344" t="str">
            <v>18665939724</v>
          </cell>
          <cell r="C344" t="str">
            <v>在职</v>
          </cell>
          <cell r="D344" t="str">
            <v>dillionzhang</v>
          </cell>
          <cell r="E344" t="str">
            <v>基础平台中心</v>
          </cell>
          <cell r="F344" t="str">
            <v>前端开发组</v>
          </cell>
          <cell r="G344" t="str">
            <v/>
          </cell>
        </row>
        <row r="345">
          <cell r="A345" t="str">
            <v>杨小平</v>
          </cell>
          <cell r="B345" t="str">
            <v>18798800250</v>
          </cell>
          <cell r="C345" t="str">
            <v>在职</v>
          </cell>
          <cell r="D345" t="str">
            <v>joeyang</v>
          </cell>
          <cell r="E345" t="str">
            <v>电商产品中心</v>
          </cell>
          <cell r="F345" t="str">
            <v>电商前端一组</v>
          </cell>
          <cell r="G345" t="str">
            <v/>
          </cell>
        </row>
        <row r="346">
          <cell r="A346" t="str">
            <v>林淑芬</v>
          </cell>
          <cell r="B346" t="str">
            <v>13242852517</v>
          </cell>
          <cell r="C346" t="str">
            <v>在职</v>
          </cell>
          <cell r="D346" t="str">
            <v>suelin</v>
          </cell>
          <cell r="E346" t="str">
            <v>学习产品中心</v>
          </cell>
          <cell r="F346" t="str">
            <v>学习产品组</v>
          </cell>
          <cell r="G346" t="str">
            <v/>
          </cell>
        </row>
        <row r="347">
          <cell r="A347" t="str">
            <v>吴海涛</v>
          </cell>
          <cell r="B347" t="str">
            <v>18681514411</v>
          </cell>
          <cell r="C347" t="str">
            <v>在职</v>
          </cell>
          <cell r="D347" t="str">
            <v>hectorwu</v>
          </cell>
          <cell r="E347" t="str">
            <v>基础平台中心</v>
          </cell>
          <cell r="F347" t="str">
            <v>基础安全组</v>
          </cell>
          <cell r="G347" t="str">
            <v/>
          </cell>
        </row>
        <row r="348">
          <cell r="A348" t="str">
            <v>丁俊峰</v>
          </cell>
          <cell r="B348" t="str">
            <v>18603067392</v>
          </cell>
          <cell r="C348" t="str">
            <v>在职</v>
          </cell>
          <cell r="D348" t="str">
            <v>jeffding</v>
          </cell>
          <cell r="E348" t="str">
            <v>直播平台中心</v>
          </cell>
          <cell r="F348" t="str">
            <v>前端平台开发组</v>
          </cell>
          <cell r="G348" t="str">
            <v/>
          </cell>
        </row>
        <row r="349">
          <cell r="A349" t="str">
            <v>何鑫</v>
          </cell>
          <cell r="B349" t="str">
            <v>13428788458</v>
          </cell>
          <cell r="C349" t="str">
            <v>在职</v>
          </cell>
          <cell r="D349" t="str">
            <v>peterhe</v>
          </cell>
          <cell r="E349" t="str">
            <v>品牌运营中心</v>
          </cell>
          <cell r="F349" t="str">
            <v>训练营运营组</v>
          </cell>
          <cell r="G349" t="str">
            <v/>
          </cell>
        </row>
        <row r="350">
          <cell r="A350" t="str">
            <v>彭柯强</v>
          </cell>
          <cell r="B350" t="str">
            <v>15622319424</v>
          </cell>
          <cell r="C350" t="str">
            <v>在职</v>
          </cell>
          <cell r="D350" t="str">
            <v>keqiangpeng</v>
          </cell>
          <cell r="E350" t="str">
            <v>基础平台中心</v>
          </cell>
          <cell r="F350" t="str">
            <v>基础平台组</v>
          </cell>
          <cell r="G350" t="str">
            <v/>
          </cell>
        </row>
        <row r="351">
          <cell r="A351" t="str">
            <v>高晶晶</v>
          </cell>
          <cell r="B351" t="str">
            <v>18978617330</v>
          </cell>
          <cell r="C351" t="str">
            <v>在职</v>
          </cell>
          <cell r="D351" t="str">
            <v>jingjinggao</v>
          </cell>
          <cell r="E351" t="str">
            <v>产品运营中心</v>
          </cell>
          <cell r="F351" t="str">
            <v>客户服务组</v>
          </cell>
          <cell r="G351" t="str">
            <v>直播电商专项组</v>
          </cell>
        </row>
        <row r="352">
          <cell r="A352" t="str">
            <v>庄梓炜</v>
          </cell>
          <cell r="B352" t="str">
            <v>13202783058</v>
          </cell>
          <cell r="C352" t="str">
            <v>在职</v>
          </cell>
          <cell r="D352" t="str">
            <v>ziweizhuang</v>
          </cell>
          <cell r="E352" t="str">
            <v>直播产品中心</v>
          </cell>
          <cell r="F352" t="str">
            <v>前端组</v>
          </cell>
          <cell r="G352" t="str">
            <v/>
          </cell>
        </row>
        <row r="353">
          <cell r="A353" t="str">
            <v>陈玉玲</v>
          </cell>
          <cell r="B353" t="str">
            <v>15277008653</v>
          </cell>
          <cell r="C353" t="str">
            <v>在职</v>
          </cell>
          <cell r="D353" t="str">
            <v>yulingchen</v>
          </cell>
          <cell r="E353" t="str">
            <v>产品运营中心</v>
          </cell>
          <cell r="F353" t="str">
            <v>客户服务组</v>
          </cell>
          <cell r="G353" t="str">
            <v>投诉热线组</v>
          </cell>
        </row>
        <row r="354">
          <cell r="A354" t="str">
            <v>杨祺</v>
          </cell>
          <cell r="B354" t="str">
            <v>15816180416</v>
          </cell>
          <cell r="C354" t="str">
            <v>在职</v>
          </cell>
          <cell r="D354" t="str">
            <v>qiyang</v>
          </cell>
          <cell r="E354" t="str">
            <v>基础平台中心</v>
          </cell>
          <cell r="F354" t="str">
            <v>前端开发组</v>
          </cell>
          <cell r="G354" t="str">
            <v/>
          </cell>
        </row>
        <row r="355">
          <cell r="A355" t="str">
            <v>叶明焕</v>
          </cell>
          <cell r="B355" t="str">
            <v>15871717247</v>
          </cell>
          <cell r="C355" t="str">
            <v>在职</v>
          </cell>
          <cell r="D355" t="str">
            <v>minghuanye</v>
          </cell>
          <cell r="E355" t="str">
            <v>自营销售中心</v>
          </cell>
          <cell r="F355" t="str">
            <v>自营投放组</v>
          </cell>
          <cell r="G355" t="str">
            <v/>
          </cell>
        </row>
        <row r="356">
          <cell r="A356" t="str">
            <v>封贞卉</v>
          </cell>
          <cell r="B356" t="str">
            <v>15118106796</v>
          </cell>
          <cell r="C356" t="str">
            <v>在职</v>
          </cell>
          <cell r="D356" t="str">
            <v>fengfeng</v>
          </cell>
          <cell r="E356" t="str">
            <v>综合职能中心</v>
          </cell>
          <cell r="F356" t="str">
            <v>人力组</v>
          </cell>
          <cell r="G356" t="str">
            <v>招聘BP组</v>
          </cell>
        </row>
        <row r="357">
          <cell r="A357" t="str">
            <v>王奕标</v>
          </cell>
          <cell r="B357" t="str">
            <v>13641438510</v>
          </cell>
          <cell r="C357" t="str">
            <v>在职</v>
          </cell>
          <cell r="D357" t="str">
            <v>blakewang</v>
          </cell>
          <cell r="E357" t="str">
            <v>产品运营中心</v>
          </cell>
          <cell r="F357" t="str">
            <v>客户服务组</v>
          </cell>
          <cell r="G357" t="str">
            <v>基础管家二组</v>
          </cell>
        </row>
        <row r="358">
          <cell r="A358" t="str">
            <v>郑嘉璇</v>
          </cell>
          <cell r="B358" t="str">
            <v>15626415089</v>
          </cell>
          <cell r="C358" t="str">
            <v>在职</v>
          </cell>
          <cell r="D358" t="str">
            <v>jessiezheng</v>
          </cell>
          <cell r="E358" t="str">
            <v>营销产品中心</v>
          </cell>
          <cell r="F358" t="str">
            <v>营销产品组</v>
          </cell>
          <cell r="G358" t="str">
            <v/>
          </cell>
        </row>
        <row r="359">
          <cell r="A359" t="str">
            <v>饶诗诗</v>
          </cell>
          <cell r="B359" t="str">
            <v>15979526237</v>
          </cell>
          <cell r="C359" t="str">
            <v>在职</v>
          </cell>
          <cell r="D359" t="str">
            <v>xixirao</v>
          </cell>
          <cell r="E359" t="str">
            <v>学习产品中心</v>
          </cell>
          <cell r="F359" t="str">
            <v>课程业务组</v>
          </cell>
          <cell r="G359" t="str">
            <v/>
          </cell>
        </row>
        <row r="360">
          <cell r="A360" t="str">
            <v>何晓颖</v>
          </cell>
          <cell r="B360" t="str">
            <v>13143660526</v>
          </cell>
          <cell r="C360" t="str">
            <v>在职</v>
          </cell>
          <cell r="D360" t="str">
            <v>vivianhe</v>
          </cell>
          <cell r="E360" t="str">
            <v>品牌运营中心</v>
          </cell>
          <cell r="F360" t="str">
            <v>视觉组</v>
          </cell>
          <cell r="G360" t="str">
            <v/>
          </cell>
        </row>
        <row r="361">
          <cell r="A361" t="str">
            <v>唐湘妮</v>
          </cell>
          <cell r="B361" t="str">
            <v>17674345717</v>
          </cell>
          <cell r="C361" t="str">
            <v>在职</v>
          </cell>
          <cell r="D361" t="str">
            <v>xiangnitang</v>
          </cell>
          <cell r="E361" t="str">
            <v>综合职能中心</v>
          </cell>
          <cell r="F361" t="str">
            <v>行政组</v>
          </cell>
          <cell r="G361" t="str">
            <v/>
          </cell>
        </row>
        <row r="362">
          <cell r="A362" t="str">
            <v>梁俊忠</v>
          </cell>
          <cell r="B362" t="str">
            <v>18925264322</v>
          </cell>
          <cell r="C362" t="str">
            <v>在职</v>
          </cell>
          <cell r="D362" t="str">
            <v>junliang</v>
          </cell>
          <cell r="E362" t="str">
            <v>数智平台中心</v>
          </cell>
          <cell r="F362" t="str">
            <v>数智后台一组</v>
          </cell>
          <cell r="G362" t="str">
            <v/>
          </cell>
        </row>
        <row r="363">
          <cell r="A363" t="str">
            <v>唐天雨</v>
          </cell>
          <cell r="B363" t="str">
            <v>18823376867</v>
          </cell>
          <cell r="C363" t="str">
            <v>在职</v>
          </cell>
          <cell r="D363" t="str">
            <v>ginatang</v>
          </cell>
          <cell r="E363" t="str">
            <v>学习产品中心</v>
          </cell>
          <cell r="F363" t="str">
            <v>学习产品组</v>
          </cell>
          <cell r="G363" t="str">
            <v/>
          </cell>
        </row>
        <row r="364">
          <cell r="A364" t="str">
            <v>古志周</v>
          </cell>
          <cell r="B364" t="str">
            <v>13104997306</v>
          </cell>
          <cell r="C364" t="str">
            <v>在职</v>
          </cell>
          <cell r="D364" t="str">
            <v>guzhzogu</v>
          </cell>
          <cell r="E364" t="str">
            <v>直播产品中心</v>
          </cell>
          <cell r="F364" t="str">
            <v>前端组</v>
          </cell>
          <cell r="G364" t="str">
            <v/>
          </cell>
        </row>
        <row r="365">
          <cell r="A365" t="str">
            <v>张伟</v>
          </cell>
          <cell r="B365" t="str">
            <v>13264770719</v>
          </cell>
          <cell r="C365" t="str">
            <v>在职</v>
          </cell>
          <cell r="D365" t="str">
            <v>wadezhang</v>
          </cell>
          <cell r="E365" t="str">
            <v>直播平台中心</v>
          </cell>
          <cell r="F365" t="str">
            <v>直播后台开发组</v>
          </cell>
          <cell r="G365" t="str">
            <v/>
          </cell>
        </row>
        <row r="366">
          <cell r="A366" t="str">
            <v>郑重</v>
          </cell>
          <cell r="B366" t="str">
            <v>13714195673</v>
          </cell>
          <cell r="C366" t="str">
            <v>在职</v>
          </cell>
          <cell r="D366" t="str">
            <v>luckyzheng</v>
          </cell>
          <cell r="E366" t="str">
            <v>自营销售中心</v>
          </cell>
          <cell r="F366" t="str">
            <v>自营服务支持组</v>
          </cell>
          <cell r="G366" t="str">
            <v/>
          </cell>
        </row>
        <row r="367">
          <cell r="A367" t="str">
            <v>马婕</v>
          </cell>
          <cell r="B367" t="str">
            <v>13289861005</v>
          </cell>
          <cell r="C367" t="str">
            <v>在职</v>
          </cell>
          <cell r="D367" t="str">
            <v>verama</v>
          </cell>
          <cell r="E367" t="str">
            <v>数智平台中心</v>
          </cell>
          <cell r="F367" t="str">
            <v>数智前端组</v>
          </cell>
          <cell r="G367" t="str">
            <v/>
          </cell>
        </row>
        <row r="368">
          <cell r="A368" t="str">
            <v>许伟</v>
          </cell>
          <cell r="B368" t="str">
            <v>18688823002</v>
          </cell>
          <cell r="C368" t="str">
            <v>在职</v>
          </cell>
          <cell r="D368" t="str">
            <v>samxu</v>
          </cell>
          <cell r="E368" t="str">
            <v>基础平台中心</v>
          </cell>
          <cell r="F368" t="str">
            <v>基础平台组</v>
          </cell>
          <cell r="G368" t="str">
            <v/>
          </cell>
        </row>
        <row r="369">
          <cell r="A369" t="str">
            <v>杨英颢</v>
          </cell>
          <cell r="B369" t="str">
            <v>18218725818</v>
          </cell>
          <cell r="C369" t="str">
            <v>在职</v>
          </cell>
          <cell r="D369" t="str">
            <v>joshuayang</v>
          </cell>
          <cell r="E369" t="str">
            <v>运营支持中心</v>
          </cell>
          <cell r="F369" t="str">
            <v>法务组</v>
          </cell>
          <cell r="G369" t="str">
            <v/>
          </cell>
        </row>
        <row r="370">
          <cell r="A370" t="str">
            <v>钱沐云</v>
          </cell>
          <cell r="B370" t="str">
            <v>18815003931</v>
          </cell>
          <cell r="C370" t="str">
            <v>在职</v>
          </cell>
          <cell r="D370" t="str">
            <v>moiraqian</v>
          </cell>
          <cell r="E370" t="str">
            <v>数智平台中心</v>
          </cell>
          <cell r="F370" t="str">
            <v>数智前端组</v>
          </cell>
          <cell r="G370" t="str">
            <v/>
          </cell>
        </row>
        <row r="371">
          <cell r="A371" t="str">
            <v>朱珂欣</v>
          </cell>
          <cell r="B371" t="str">
            <v>13265412197</v>
          </cell>
          <cell r="C371" t="str">
            <v>在职</v>
          </cell>
          <cell r="D371" t="str">
            <v>aidenzhu</v>
          </cell>
          <cell r="E371" t="str">
            <v>电商产品中心</v>
          </cell>
          <cell r="F371" t="str">
            <v>电商前端一组</v>
          </cell>
          <cell r="G371" t="str">
            <v/>
          </cell>
        </row>
        <row r="372">
          <cell r="A372" t="str">
            <v>马鹏飞</v>
          </cell>
          <cell r="B372" t="str">
            <v>17671465494</v>
          </cell>
          <cell r="C372" t="str">
            <v>在职</v>
          </cell>
          <cell r="D372" t="str">
            <v>allanma</v>
          </cell>
          <cell r="E372" t="str">
            <v>企培产品中心</v>
          </cell>
          <cell r="F372" t="str">
            <v>企培研发组</v>
          </cell>
          <cell r="G372" t="str">
            <v/>
          </cell>
        </row>
        <row r="373">
          <cell r="A373" t="str">
            <v>陈泽仕</v>
          </cell>
          <cell r="B373" t="str">
            <v>15119137076</v>
          </cell>
          <cell r="C373" t="str">
            <v>在职</v>
          </cell>
          <cell r="D373" t="str">
            <v>chschen</v>
          </cell>
          <cell r="E373" t="str">
            <v>学习产品中心</v>
          </cell>
          <cell r="F373" t="str">
            <v>课程业务组</v>
          </cell>
          <cell r="G373" t="str">
            <v/>
          </cell>
        </row>
        <row r="374">
          <cell r="A374" t="str">
            <v>张子洁</v>
          </cell>
          <cell r="B374" t="str">
            <v>18688717264</v>
          </cell>
          <cell r="C374" t="str">
            <v>在职</v>
          </cell>
          <cell r="D374" t="str">
            <v>echozhang</v>
          </cell>
          <cell r="E374" t="str">
            <v>学习产品中心</v>
          </cell>
          <cell r="F374" t="str">
            <v>学习产品组</v>
          </cell>
          <cell r="G374" t="str">
            <v/>
          </cell>
        </row>
        <row r="375">
          <cell r="A375" t="str">
            <v>詹宏宇</v>
          </cell>
          <cell r="B375" t="str">
            <v>18825141474</v>
          </cell>
          <cell r="C375" t="str">
            <v>在职</v>
          </cell>
          <cell r="D375" t="str">
            <v>hongyuzhan</v>
          </cell>
          <cell r="E375" t="str">
            <v>运营支持中心</v>
          </cell>
          <cell r="F375" t="str">
            <v>新零售服务一组</v>
          </cell>
          <cell r="G375" t="str">
            <v/>
          </cell>
        </row>
        <row r="376">
          <cell r="A376" t="str">
            <v>朱峻农</v>
          </cell>
          <cell r="B376" t="str">
            <v>15627916862</v>
          </cell>
          <cell r="C376" t="str">
            <v>在职</v>
          </cell>
          <cell r="D376" t="str">
            <v>brianzhu</v>
          </cell>
          <cell r="E376" t="str">
            <v>数智平台中心</v>
          </cell>
          <cell r="F376" t="str">
            <v>数智前端组</v>
          </cell>
          <cell r="G376" t="str">
            <v/>
          </cell>
        </row>
        <row r="377">
          <cell r="A377" t="str">
            <v>梁来燕</v>
          </cell>
          <cell r="B377" t="str">
            <v>15219903836</v>
          </cell>
          <cell r="C377" t="str">
            <v>在职</v>
          </cell>
          <cell r="D377" t="str">
            <v>laiyanliang</v>
          </cell>
          <cell r="E377" t="str">
            <v>企培产品中心</v>
          </cell>
          <cell r="F377" t="str">
            <v>客户组</v>
          </cell>
          <cell r="G377" t="str">
            <v/>
          </cell>
        </row>
        <row r="378">
          <cell r="A378" t="str">
            <v>王嘉桦</v>
          </cell>
          <cell r="B378" t="str">
            <v>15521058931</v>
          </cell>
          <cell r="C378" t="str">
            <v>在职</v>
          </cell>
          <cell r="D378" t="str">
            <v>waynewang</v>
          </cell>
          <cell r="E378" t="str">
            <v>企培产品中心</v>
          </cell>
          <cell r="F378" t="str">
            <v>客户组</v>
          </cell>
          <cell r="G378" t="str">
            <v/>
          </cell>
        </row>
        <row r="379">
          <cell r="A379" t="str">
            <v>黎瑞琪</v>
          </cell>
          <cell r="B379" t="str">
            <v>13378328599</v>
          </cell>
          <cell r="C379" t="str">
            <v>在职</v>
          </cell>
          <cell r="D379" t="str">
            <v>rachelli</v>
          </cell>
          <cell r="E379" t="str">
            <v>产品运营中心</v>
          </cell>
          <cell r="F379" t="str">
            <v/>
          </cell>
          <cell r="G379" t="str">
            <v/>
          </cell>
        </row>
        <row r="380">
          <cell r="A380" t="str">
            <v>林鑫鹏</v>
          </cell>
          <cell r="B380" t="str">
            <v>18759030819</v>
          </cell>
          <cell r="C380" t="str">
            <v>在职</v>
          </cell>
          <cell r="D380" t="str">
            <v>zeruallin</v>
          </cell>
          <cell r="E380" t="str">
            <v>学习产品中心</v>
          </cell>
          <cell r="F380" t="str">
            <v>学习平台组</v>
          </cell>
          <cell r="G380" t="str">
            <v/>
          </cell>
        </row>
        <row r="381">
          <cell r="A381" t="str">
            <v>游琦琦</v>
          </cell>
          <cell r="B381" t="str">
            <v>18810200182</v>
          </cell>
          <cell r="C381" t="str">
            <v>在职</v>
          </cell>
          <cell r="D381" t="str">
            <v>yukieyou</v>
          </cell>
          <cell r="E381" t="str">
            <v>综合职能中心</v>
          </cell>
          <cell r="F381" t="str">
            <v>人力组</v>
          </cell>
          <cell r="G381" t="str">
            <v>培训组</v>
          </cell>
        </row>
        <row r="382">
          <cell r="A382" t="str">
            <v>王尚升</v>
          </cell>
          <cell r="B382" t="str">
            <v>13008899547</v>
          </cell>
          <cell r="C382" t="str">
            <v>在职</v>
          </cell>
          <cell r="D382" t="str">
            <v>wilsonwang</v>
          </cell>
          <cell r="E382" t="str">
            <v>基础平台中心</v>
          </cell>
          <cell r="F382" t="str">
            <v>账号平台组</v>
          </cell>
          <cell r="G382" t="str">
            <v/>
          </cell>
        </row>
        <row r="383">
          <cell r="A383" t="str">
            <v>张李杰</v>
          </cell>
          <cell r="B383" t="str">
            <v>15625014352</v>
          </cell>
          <cell r="C383" t="str">
            <v>在职</v>
          </cell>
          <cell r="D383" t="str">
            <v>liejerzhang</v>
          </cell>
          <cell r="E383" t="str">
            <v>直播产品中心</v>
          </cell>
          <cell r="F383" t="str">
            <v>前端组</v>
          </cell>
          <cell r="G383" t="str">
            <v/>
          </cell>
        </row>
        <row r="384">
          <cell r="A384" t="str">
            <v>於欢</v>
          </cell>
          <cell r="B384" t="str">
            <v>17620323766</v>
          </cell>
          <cell r="C384" t="str">
            <v>在职</v>
          </cell>
          <cell r="D384" t="str">
            <v>fishyu</v>
          </cell>
          <cell r="E384" t="str">
            <v>产品运营中心</v>
          </cell>
          <cell r="F384" t="str">
            <v>产品体验组</v>
          </cell>
          <cell r="G384" t="str">
            <v/>
          </cell>
        </row>
        <row r="385">
          <cell r="A385" t="str">
            <v>谢燕群</v>
          </cell>
          <cell r="B385" t="str">
            <v>15813209007</v>
          </cell>
          <cell r="C385" t="str">
            <v>在职</v>
          </cell>
          <cell r="D385" t="str">
            <v>allenxie</v>
          </cell>
          <cell r="E385" t="str">
            <v>自营销售中心</v>
          </cell>
          <cell r="F385" t="str">
            <v>自营投放组</v>
          </cell>
          <cell r="G385" t="str">
            <v/>
          </cell>
        </row>
        <row r="386">
          <cell r="A386" t="str">
            <v>龙军</v>
          </cell>
          <cell r="B386" t="str">
            <v>18598060980</v>
          </cell>
          <cell r="C386" t="str">
            <v>在职</v>
          </cell>
          <cell r="D386" t="str">
            <v>loonglong</v>
          </cell>
          <cell r="E386" t="str">
            <v>品牌运营中心</v>
          </cell>
          <cell r="F386" t="str">
            <v>直播运营组</v>
          </cell>
          <cell r="G386" t="str">
            <v/>
          </cell>
        </row>
        <row r="387">
          <cell r="A387" t="str">
            <v>方伟强</v>
          </cell>
          <cell r="B387" t="str">
            <v>15920329700</v>
          </cell>
          <cell r="C387" t="str">
            <v>在职</v>
          </cell>
          <cell r="D387" t="str">
            <v>wiskfang</v>
          </cell>
          <cell r="E387" t="str">
            <v>营销产品中心</v>
          </cell>
          <cell r="F387" t="str">
            <v>营销后台组</v>
          </cell>
          <cell r="G387" t="str">
            <v/>
          </cell>
        </row>
        <row r="388">
          <cell r="A388" t="str">
            <v>黄珊娜</v>
          </cell>
          <cell r="B388" t="str">
            <v>13266531026</v>
          </cell>
          <cell r="C388" t="str">
            <v>在职</v>
          </cell>
          <cell r="D388" t="str">
            <v>shannahuang</v>
          </cell>
          <cell r="E388" t="str">
            <v>自营销售中心</v>
          </cell>
          <cell r="F388" t="str">
            <v>LA服务组</v>
          </cell>
          <cell r="G388" t="str">
            <v/>
          </cell>
        </row>
        <row r="389">
          <cell r="A389" t="str">
            <v>向云霞</v>
          </cell>
          <cell r="B389" t="str">
            <v>13016208457</v>
          </cell>
          <cell r="C389" t="str">
            <v>在职</v>
          </cell>
          <cell r="D389" t="str">
            <v>serenaxiang</v>
          </cell>
          <cell r="E389" t="str">
            <v>企培产品中心</v>
          </cell>
          <cell r="F389" t="str">
            <v>客户组</v>
          </cell>
          <cell r="G389" t="str">
            <v/>
          </cell>
        </row>
        <row r="390">
          <cell r="A390" t="str">
            <v>罗君权</v>
          </cell>
          <cell r="B390" t="str">
            <v>17817768964</v>
          </cell>
          <cell r="C390" t="str">
            <v>在职</v>
          </cell>
          <cell r="D390" t="str">
            <v>junquanluo</v>
          </cell>
          <cell r="E390" t="str">
            <v>学习产品中心</v>
          </cell>
          <cell r="F390" t="str">
            <v>课程业务组</v>
          </cell>
          <cell r="G390" t="str">
            <v/>
          </cell>
        </row>
        <row r="391">
          <cell r="A391" t="str">
            <v>余创业</v>
          </cell>
          <cell r="B391" t="str">
            <v>18218378767</v>
          </cell>
          <cell r="C391" t="str">
            <v>在职</v>
          </cell>
          <cell r="D391" t="str">
            <v>chuangyeyu</v>
          </cell>
          <cell r="E391" t="str">
            <v>运营支持中心</v>
          </cell>
          <cell r="F391" t="str">
            <v>运营产品组</v>
          </cell>
          <cell r="G391" t="str">
            <v/>
          </cell>
        </row>
        <row r="392">
          <cell r="A392" t="str">
            <v>周红嫚</v>
          </cell>
          <cell r="B392" t="str">
            <v>13662669762</v>
          </cell>
          <cell r="C392" t="str">
            <v>在职</v>
          </cell>
          <cell r="D392" t="str">
            <v>zhouzhou</v>
          </cell>
          <cell r="E392" t="str">
            <v>企培产品中心</v>
          </cell>
          <cell r="F392" t="str">
            <v>客户组</v>
          </cell>
          <cell r="G392" t="str">
            <v/>
          </cell>
        </row>
        <row r="393">
          <cell r="A393" t="str">
            <v>林倩如</v>
          </cell>
          <cell r="B393" t="str">
            <v>18927439341</v>
          </cell>
          <cell r="C393" t="str">
            <v>在职</v>
          </cell>
          <cell r="D393" t="str">
            <v>alisalin</v>
          </cell>
          <cell r="E393" t="str">
            <v>运营支持中心</v>
          </cell>
          <cell r="F393" t="str">
            <v>新零售服务二组</v>
          </cell>
          <cell r="G393" t="str">
            <v/>
          </cell>
        </row>
        <row r="394">
          <cell r="A394" t="str">
            <v>陈敏仪</v>
          </cell>
          <cell r="B394" t="str">
            <v>13602701613</v>
          </cell>
          <cell r="C394" t="str">
            <v>在职</v>
          </cell>
          <cell r="D394" t="str">
            <v>minniechen</v>
          </cell>
          <cell r="E394" t="str">
            <v>品牌运营中心</v>
          </cell>
          <cell r="F394" t="str">
            <v>直播运营组</v>
          </cell>
          <cell r="G394" t="str">
            <v/>
          </cell>
        </row>
        <row r="395">
          <cell r="A395" t="str">
            <v>吴壮涌</v>
          </cell>
          <cell r="B395" t="str">
            <v>18819311808</v>
          </cell>
          <cell r="C395" t="str">
            <v>在职</v>
          </cell>
          <cell r="D395" t="str">
            <v>zhuangwu</v>
          </cell>
          <cell r="E395" t="str">
            <v>基础平台中心</v>
          </cell>
          <cell r="F395" t="str">
            <v>测试运维组</v>
          </cell>
          <cell r="G395" t="str">
            <v>平台测试组</v>
          </cell>
        </row>
        <row r="396">
          <cell r="A396" t="str">
            <v>王桂钦</v>
          </cell>
          <cell r="B396" t="str">
            <v>17872779091</v>
          </cell>
          <cell r="C396" t="str">
            <v>在职</v>
          </cell>
          <cell r="D396" t="str">
            <v>allenwang</v>
          </cell>
          <cell r="E396" t="str">
            <v>直播平台中心</v>
          </cell>
          <cell r="F396" t="str">
            <v>直播后台开发组</v>
          </cell>
          <cell r="G396" t="str">
            <v/>
          </cell>
        </row>
        <row r="397">
          <cell r="A397" t="str">
            <v>黄宇健</v>
          </cell>
          <cell r="B397" t="str">
            <v>15016509193</v>
          </cell>
          <cell r="C397" t="str">
            <v>在职</v>
          </cell>
          <cell r="D397" t="str">
            <v>levihuang</v>
          </cell>
          <cell r="E397" t="str">
            <v>企培产品中心</v>
          </cell>
          <cell r="F397" t="str">
            <v>企培研发组</v>
          </cell>
          <cell r="G397" t="str">
            <v/>
          </cell>
        </row>
        <row r="398">
          <cell r="A398" t="str">
            <v>曹正春</v>
          </cell>
          <cell r="B398" t="str">
            <v>17398646981</v>
          </cell>
          <cell r="C398" t="str">
            <v>在职</v>
          </cell>
          <cell r="D398" t="str">
            <v>aaroncao</v>
          </cell>
          <cell r="E398" t="str">
            <v>数智平台中心</v>
          </cell>
          <cell r="F398" t="str">
            <v>数智后台三组</v>
          </cell>
          <cell r="G398" t="str">
            <v/>
          </cell>
        </row>
        <row r="399">
          <cell r="A399" t="str">
            <v>马乾昆</v>
          </cell>
          <cell r="B399" t="str">
            <v>18738878692</v>
          </cell>
          <cell r="C399" t="str">
            <v>在职</v>
          </cell>
          <cell r="D399" t="str">
            <v>qiankunma</v>
          </cell>
          <cell r="E399" t="str">
            <v>企培产品中心</v>
          </cell>
          <cell r="F399" t="str">
            <v>企培研发组</v>
          </cell>
          <cell r="G399" t="str">
            <v/>
          </cell>
        </row>
        <row r="400">
          <cell r="A400" t="str">
            <v>侯春龙</v>
          </cell>
          <cell r="B400" t="str">
            <v>13811679631</v>
          </cell>
          <cell r="C400" t="str">
            <v>在职</v>
          </cell>
          <cell r="D400" t="str">
            <v>tonyhou</v>
          </cell>
          <cell r="E400" t="str">
            <v>KA销售中心</v>
          </cell>
          <cell r="F400" t="str">
            <v>KA销售组</v>
          </cell>
          <cell r="G400" t="str">
            <v/>
          </cell>
        </row>
        <row r="401">
          <cell r="A401" t="str">
            <v>潘嘉芷</v>
          </cell>
          <cell r="B401" t="str">
            <v>18320045700</v>
          </cell>
          <cell r="C401" t="str">
            <v>在职</v>
          </cell>
          <cell r="D401" t="str">
            <v>holypan</v>
          </cell>
          <cell r="E401" t="str">
            <v>KA销售中心</v>
          </cell>
          <cell r="F401" t="str">
            <v>渠道合作组-华南区</v>
          </cell>
          <cell r="G401" t="str">
            <v/>
          </cell>
        </row>
        <row r="402">
          <cell r="A402" t="str">
            <v>苏海城</v>
          </cell>
          <cell r="B402" t="str">
            <v>18022809334</v>
          </cell>
          <cell r="C402" t="str">
            <v>在职</v>
          </cell>
          <cell r="D402" t="str">
            <v>hatchersu</v>
          </cell>
          <cell r="E402" t="str">
            <v>基础平台中心</v>
          </cell>
          <cell r="F402" t="str">
            <v>基础安全组</v>
          </cell>
          <cell r="G402" t="str">
            <v/>
          </cell>
        </row>
        <row r="403">
          <cell r="A403" t="str">
            <v>秦文芳</v>
          </cell>
          <cell r="B403" t="str">
            <v>15083510504</v>
          </cell>
          <cell r="C403" t="str">
            <v>在职</v>
          </cell>
          <cell r="D403" t="str">
            <v>wendyqin</v>
          </cell>
          <cell r="E403" t="str">
            <v>学习产品中心</v>
          </cell>
          <cell r="F403" t="str">
            <v>课程业务组</v>
          </cell>
          <cell r="G403" t="str">
            <v/>
          </cell>
        </row>
        <row r="404">
          <cell r="A404" t="str">
            <v>黄彪</v>
          </cell>
          <cell r="B404" t="str">
            <v>15170209197</v>
          </cell>
          <cell r="C404" t="str">
            <v>在职</v>
          </cell>
          <cell r="D404" t="str">
            <v>herbhuang</v>
          </cell>
          <cell r="E404" t="str">
            <v>数智平台中心</v>
          </cell>
          <cell r="F404" t="str">
            <v>数据仓库组</v>
          </cell>
          <cell r="G404" t="str">
            <v/>
          </cell>
        </row>
        <row r="405">
          <cell r="A405" t="str">
            <v>胡浩峰</v>
          </cell>
          <cell r="B405" t="str">
            <v>18571546997</v>
          </cell>
          <cell r="C405" t="str">
            <v>在职</v>
          </cell>
          <cell r="D405" t="str">
            <v>haofenghu</v>
          </cell>
          <cell r="E405" t="str">
            <v>数智平台中心</v>
          </cell>
          <cell r="F405" t="str">
            <v>数智后台三组</v>
          </cell>
          <cell r="G405" t="str">
            <v/>
          </cell>
        </row>
        <row r="406">
          <cell r="A406" t="str">
            <v>冯所葳</v>
          </cell>
          <cell r="B406" t="str">
            <v>13767405474</v>
          </cell>
          <cell r="C406" t="str">
            <v>在职</v>
          </cell>
          <cell r="D406" t="str">
            <v>suoweifeng</v>
          </cell>
          <cell r="E406" t="str">
            <v>学习产品中心</v>
          </cell>
          <cell r="F406" t="str">
            <v>助学业务组</v>
          </cell>
          <cell r="G406" t="str">
            <v/>
          </cell>
        </row>
        <row r="407">
          <cell r="A407" t="str">
            <v>林丹红</v>
          </cell>
          <cell r="B407" t="str">
            <v>13421127081</v>
          </cell>
          <cell r="C407" t="str">
            <v>在职</v>
          </cell>
          <cell r="D407" t="str">
            <v>cclin</v>
          </cell>
          <cell r="E407" t="str">
            <v>综合职能中心</v>
          </cell>
          <cell r="F407" t="str">
            <v>CEO创新小组</v>
          </cell>
          <cell r="G407" t="str">
            <v>出海运营组</v>
          </cell>
        </row>
        <row r="408">
          <cell r="A408" t="str">
            <v>王解放</v>
          </cell>
          <cell r="B408" t="str">
            <v>18736187684</v>
          </cell>
          <cell r="C408" t="str">
            <v>在职</v>
          </cell>
          <cell r="D408" t="str">
            <v>jiefangwang</v>
          </cell>
          <cell r="E408" t="str">
            <v>基础平台中心</v>
          </cell>
          <cell r="F408" t="str">
            <v>测试运维组</v>
          </cell>
          <cell r="G408" t="str">
            <v>基础运维组</v>
          </cell>
        </row>
        <row r="409">
          <cell r="A409" t="str">
            <v>王锦锋</v>
          </cell>
          <cell r="B409" t="str">
            <v>17389706063</v>
          </cell>
          <cell r="C409" t="str">
            <v>在职</v>
          </cell>
          <cell r="D409" t="str">
            <v>jimwang</v>
          </cell>
          <cell r="E409" t="str">
            <v>基础平台中心</v>
          </cell>
          <cell r="F409" t="str">
            <v>素材中心组</v>
          </cell>
          <cell r="G409" t="str">
            <v/>
          </cell>
        </row>
        <row r="410">
          <cell r="A410" t="str">
            <v>刘骞</v>
          </cell>
          <cell r="B410" t="str">
            <v>18682827379</v>
          </cell>
          <cell r="C410" t="str">
            <v>在职</v>
          </cell>
          <cell r="D410" t="str">
            <v>benliu</v>
          </cell>
          <cell r="E410" t="str">
            <v>战略投资中心</v>
          </cell>
          <cell r="F410" t="str">
            <v>风控组</v>
          </cell>
          <cell r="G410" t="str">
            <v/>
          </cell>
        </row>
        <row r="411">
          <cell r="A411" t="str">
            <v>韦红秀</v>
          </cell>
          <cell r="B411" t="str">
            <v>13260614983</v>
          </cell>
          <cell r="C411" t="str">
            <v>在职</v>
          </cell>
          <cell r="D411" t="str">
            <v>hayneswei</v>
          </cell>
          <cell r="E411" t="str">
            <v>基础平台中心</v>
          </cell>
          <cell r="F411" t="str">
            <v>测试运维组</v>
          </cell>
          <cell r="G411" t="str">
            <v>教培测试组</v>
          </cell>
        </row>
        <row r="412">
          <cell r="A412" t="str">
            <v>段思宇</v>
          </cell>
          <cell r="B412" t="str">
            <v>13145742110</v>
          </cell>
          <cell r="C412" t="str">
            <v>在职</v>
          </cell>
          <cell r="D412" t="str">
            <v>stephaneduan</v>
          </cell>
          <cell r="E412" t="str">
            <v>战略投资中心</v>
          </cell>
          <cell r="F412" t="str">
            <v>风控组</v>
          </cell>
          <cell r="G412" t="str">
            <v/>
          </cell>
        </row>
        <row r="413">
          <cell r="A413" t="str">
            <v>曾子涵</v>
          </cell>
          <cell r="B413" t="str">
            <v>18682098357</v>
          </cell>
          <cell r="C413" t="str">
            <v>在职</v>
          </cell>
          <cell r="D413" t="str">
            <v>leozeng</v>
          </cell>
          <cell r="E413" t="str">
            <v>营销产品中心</v>
          </cell>
          <cell r="F413" t="str">
            <v>营销前端组</v>
          </cell>
          <cell r="G413" t="str">
            <v/>
          </cell>
        </row>
        <row r="414">
          <cell r="A414" t="str">
            <v>肖金梦</v>
          </cell>
          <cell r="B414" t="str">
            <v>15074836399</v>
          </cell>
          <cell r="C414" t="str">
            <v>在职</v>
          </cell>
          <cell r="D414" t="str">
            <v>carryxiao</v>
          </cell>
          <cell r="E414" t="str">
            <v>运营支持中心</v>
          </cell>
          <cell r="F414" t="str">
            <v>运营产品组</v>
          </cell>
          <cell r="G414" t="str">
            <v/>
          </cell>
        </row>
        <row r="415">
          <cell r="A415" t="str">
            <v>宫贺</v>
          </cell>
          <cell r="B415" t="str">
            <v>18340822015</v>
          </cell>
          <cell r="C415" t="str">
            <v>在职</v>
          </cell>
          <cell r="D415" t="str">
            <v>hegong</v>
          </cell>
          <cell r="E415" t="str">
            <v>数智平台中心</v>
          </cell>
          <cell r="F415" t="str">
            <v>数据仓库组</v>
          </cell>
          <cell r="G415" t="str">
            <v/>
          </cell>
        </row>
        <row r="416">
          <cell r="A416" t="str">
            <v>刘武兰</v>
          </cell>
          <cell r="B416" t="str">
            <v>13751746403</v>
          </cell>
          <cell r="C416" t="str">
            <v>在职</v>
          </cell>
          <cell r="D416" t="str">
            <v>wulanliu</v>
          </cell>
          <cell r="E416" t="str">
            <v>数智平台中心</v>
          </cell>
          <cell r="F416" t="str">
            <v>数智后台二组</v>
          </cell>
          <cell r="G416" t="str">
            <v/>
          </cell>
        </row>
        <row r="417">
          <cell r="A417" t="str">
            <v>田悦</v>
          </cell>
          <cell r="B417" t="str">
            <v>13319230578</v>
          </cell>
          <cell r="C417" t="str">
            <v>在职</v>
          </cell>
          <cell r="D417" t="str">
            <v>thomastian</v>
          </cell>
          <cell r="E417" t="str">
            <v>直播产品中心</v>
          </cell>
          <cell r="F417" t="str">
            <v>产品组</v>
          </cell>
          <cell r="G417" t="str">
            <v/>
          </cell>
        </row>
        <row r="418">
          <cell r="A418" t="str">
            <v>吕明阳</v>
          </cell>
          <cell r="B418" t="str">
            <v>18923881771</v>
          </cell>
          <cell r="C418" t="str">
            <v>在职</v>
          </cell>
          <cell r="D418" t="str">
            <v>andylv</v>
          </cell>
          <cell r="E418" t="str">
            <v>中心负责人</v>
          </cell>
          <cell r="F418" t="str">
            <v/>
          </cell>
          <cell r="G418" t="str">
            <v/>
          </cell>
        </row>
        <row r="419">
          <cell r="A419" t="str">
            <v>李江锋</v>
          </cell>
          <cell r="B419" t="str">
            <v>13058193612</v>
          </cell>
          <cell r="C419" t="str">
            <v>在职</v>
          </cell>
          <cell r="D419" t="str">
            <v>moonfengli</v>
          </cell>
          <cell r="E419" t="str">
            <v>运营支持中心</v>
          </cell>
          <cell r="F419" t="str">
            <v>新零售服务一组</v>
          </cell>
          <cell r="G419" t="str">
            <v/>
          </cell>
        </row>
        <row r="420">
          <cell r="A420" t="str">
            <v>洪舒静</v>
          </cell>
          <cell r="B420" t="str">
            <v>13823752472</v>
          </cell>
          <cell r="C420" t="str">
            <v>在职</v>
          </cell>
          <cell r="D420" t="str">
            <v>annhong</v>
          </cell>
          <cell r="E420" t="str">
            <v>产品运营中心</v>
          </cell>
          <cell r="F420" t="str">
            <v>客户服务组</v>
          </cell>
          <cell r="G420" t="str">
            <v>基础管家一组</v>
          </cell>
        </row>
        <row r="421">
          <cell r="A421" t="str">
            <v>陈伟武</v>
          </cell>
          <cell r="B421" t="str">
            <v>13060571068</v>
          </cell>
          <cell r="C421" t="str">
            <v>在职</v>
          </cell>
          <cell r="D421" t="str">
            <v>ansonchen</v>
          </cell>
          <cell r="E421" t="str">
            <v>数智平台中心</v>
          </cell>
          <cell r="F421" t="str">
            <v>数智后台一组</v>
          </cell>
          <cell r="G421" t="str">
            <v/>
          </cell>
        </row>
        <row r="422">
          <cell r="A422" t="str">
            <v>熊瑛</v>
          </cell>
          <cell r="B422" t="str">
            <v>15070848241</v>
          </cell>
          <cell r="C422" t="str">
            <v>在职</v>
          </cell>
          <cell r="D422" t="str">
            <v>lvyxiong</v>
          </cell>
          <cell r="E422" t="str">
            <v>基础平台中心</v>
          </cell>
          <cell r="F422" t="str">
            <v>前端开发组</v>
          </cell>
          <cell r="G422" t="str">
            <v/>
          </cell>
        </row>
        <row r="423">
          <cell r="A423" t="str">
            <v>刘莎</v>
          </cell>
          <cell r="B423" t="str">
            <v>15111376848</v>
          </cell>
          <cell r="C423" t="str">
            <v>在职</v>
          </cell>
          <cell r="D423" t="str">
            <v>bateliu</v>
          </cell>
          <cell r="E423" t="str">
            <v>电商产品中心</v>
          </cell>
          <cell r="F423" t="str">
            <v>电商前端二组</v>
          </cell>
          <cell r="G423" t="str">
            <v/>
          </cell>
        </row>
        <row r="424">
          <cell r="A424" t="str">
            <v>邝锐聪</v>
          </cell>
          <cell r="B424" t="str">
            <v>13760232289</v>
          </cell>
          <cell r="C424" t="str">
            <v>在职</v>
          </cell>
          <cell r="D424" t="str">
            <v>ryankuang</v>
          </cell>
          <cell r="E424" t="str">
            <v>基础平台中心</v>
          </cell>
          <cell r="F424" t="str">
            <v>出海研发组</v>
          </cell>
          <cell r="G424" t="str">
            <v/>
          </cell>
        </row>
        <row r="425">
          <cell r="A425" t="str">
            <v>张安哲</v>
          </cell>
          <cell r="B425" t="str">
            <v>18673047104</v>
          </cell>
          <cell r="C425" t="str">
            <v>在职</v>
          </cell>
          <cell r="D425" t="str">
            <v>sparklizhang</v>
          </cell>
          <cell r="E425" t="str">
            <v>基础平台中心</v>
          </cell>
          <cell r="F425" t="str">
            <v>素材中心组</v>
          </cell>
          <cell r="G425" t="str">
            <v/>
          </cell>
        </row>
        <row r="426">
          <cell r="A426" t="str">
            <v>庄晓君</v>
          </cell>
          <cell r="B426" t="str">
            <v>13085760219</v>
          </cell>
          <cell r="C426" t="str">
            <v>在职</v>
          </cell>
          <cell r="D426" t="str">
            <v>junjunzhuang</v>
          </cell>
          <cell r="E426" t="str">
            <v>财务中心</v>
          </cell>
          <cell r="F426" t="str">
            <v>财务组</v>
          </cell>
          <cell r="G426" t="str">
            <v/>
          </cell>
        </row>
        <row r="427">
          <cell r="A427" t="str">
            <v>邓文文</v>
          </cell>
          <cell r="B427" t="str">
            <v>15521071198</v>
          </cell>
          <cell r="C427" t="str">
            <v>在职</v>
          </cell>
          <cell r="D427" t="str">
            <v>evadeng</v>
          </cell>
          <cell r="E427" t="str">
            <v>企培产品中心</v>
          </cell>
          <cell r="F427" t="str">
            <v>客户组</v>
          </cell>
          <cell r="G427" t="str">
            <v/>
          </cell>
        </row>
        <row r="428">
          <cell r="A428" t="str">
            <v>揭英强</v>
          </cell>
          <cell r="B428" t="str">
            <v>13128948786</v>
          </cell>
          <cell r="C428" t="str">
            <v>在职</v>
          </cell>
          <cell r="D428" t="str">
            <v>anakinjie</v>
          </cell>
          <cell r="E428" t="str">
            <v>自营销售中心</v>
          </cell>
          <cell r="F428" t="str">
            <v>LA服务组</v>
          </cell>
          <cell r="G428" t="str">
            <v/>
          </cell>
        </row>
        <row r="429">
          <cell r="A429" t="str">
            <v>刘欣宇</v>
          </cell>
          <cell r="B429" t="str">
            <v>18575695568</v>
          </cell>
          <cell r="C429" t="str">
            <v>在职</v>
          </cell>
          <cell r="D429" t="str">
            <v>jessyliu</v>
          </cell>
          <cell r="E429" t="str">
            <v>财务中心</v>
          </cell>
          <cell r="F429" t="str">
            <v>业务财务组</v>
          </cell>
          <cell r="G429" t="str">
            <v/>
          </cell>
        </row>
        <row r="430">
          <cell r="A430" t="str">
            <v>戈军波</v>
          </cell>
          <cell r="B430" t="str">
            <v>13243728603</v>
          </cell>
          <cell r="C430" t="str">
            <v>在职</v>
          </cell>
          <cell r="D430" t="str">
            <v>yijunge</v>
          </cell>
          <cell r="E430" t="str">
            <v>直播平台中心</v>
          </cell>
          <cell r="F430" t="str">
            <v>前端平台开发组</v>
          </cell>
          <cell r="G430" t="str">
            <v/>
          </cell>
        </row>
        <row r="431">
          <cell r="A431" t="str">
            <v>万宣然</v>
          </cell>
          <cell r="B431" t="str">
            <v>18875141426</v>
          </cell>
          <cell r="C431" t="str">
            <v>在职</v>
          </cell>
          <cell r="D431" t="str">
            <v>ninetywan</v>
          </cell>
          <cell r="E431" t="str">
            <v>品牌运营中心</v>
          </cell>
          <cell r="F431" t="str">
            <v>训练营运营组</v>
          </cell>
          <cell r="G431" t="str">
            <v>售前训练营组</v>
          </cell>
        </row>
        <row r="432">
          <cell r="A432" t="str">
            <v>郭睿</v>
          </cell>
          <cell r="B432" t="str">
            <v>17671662641</v>
          </cell>
          <cell r="C432" t="str">
            <v>在职</v>
          </cell>
          <cell r="D432" t="str">
            <v>rayguo</v>
          </cell>
          <cell r="E432" t="str">
            <v>直播平台中心</v>
          </cell>
          <cell r="F432" t="str">
            <v>前端平台开发组</v>
          </cell>
          <cell r="G432" t="str">
            <v/>
          </cell>
        </row>
        <row r="433">
          <cell r="A433" t="str">
            <v>梁洪林</v>
          </cell>
          <cell r="B433" t="str">
            <v>18776551452</v>
          </cell>
          <cell r="C433" t="str">
            <v>在职</v>
          </cell>
          <cell r="D433" t="str">
            <v>honglinliang</v>
          </cell>
          <cell r="E433" t="str">
            <v>营销产品中心</v>
          </cell>
          <cell r="F433" t="str">
            <v>营销后台组</v>
          </cell>
          <cell r="G433" t="str">
            <v/>
          </cell>
        </row>
        <row r="434">
          <cell r="A434" t="str">
            <v>刘怡婧</v>
          </cell>
          <cell r="B434" t="str">
            <v>13615869663</v>
          </cell>
          <cell r="C434" t="str">
            <v>在职</v>
          </cell>
          <cell r="D434" t="str">
            <v>echoliu</v>
          </cell>
          <cell r="E434" t="str">
            <v>品牌运营中心</v>
          </cell>
          <cell r="F434" t="str">
            <v>社群运营组</v>
          </cell>
          <cell r="G434" t="str">
            <v/>
          </cell>
        </row>
        <row r="435">
          <cell r="A435" t="str">
            <v>鲍迎</v>
          </cell>
          <cell r="B435" t="str">
            <v>18870322200</v>
          </cell>
          <cell r="C435" t="str">
            <v>在职</v>
          </cell>
          <cell r="D435" t="str">
            <v>boeingbao</v>
          </cell>
          <cell r="E435" t="str">
            <v>产品运营中心</v>
          </cell>
          <cell r="F435" t="str">
            <v>客户服务组</v>
          </cell>
          <cell r="G435" t="str">
            <v>基础管家二组</v>
          </cell>
        </row>
        <row r="436">
          <cell r="A436" t="str">
            <v>杨婷婷</v>
          </cell>
          <cell r="B436" t="str">
            <v>18344189905</v>
          </cell>
          <cell r="C436" t="str">
            <v>在职</v>
          </cell>
          <cell r="D436" t="str">
            <v>tinayang</v>
          </cell>
          <cell r="E436" t="str">
            <v>品牌运营中心</v>
          </cell>
          <cell r="F436" t="str">
            <v>视觉组</v>
          </cell>
          <cell r="G436" t="str">
            <v/>
          </cell>
        </row>
        <row r="437">
          <cell r="A437" t="str">
            <v>曾美佳</v>
          </cell>
          <cell r="B437" t="str">
            <v>13246324843</v>
          </cell>
          <cell r="C437" t="str">
            <v>在职</v>
          </cell>
          <cell r="D437" t="str">
            <v>meogazeng</v>
          </cell>
          <cell r="E437" t="str">
            <v>直播产品中心</v>
          </cell>
          <cell r="F437" t="str">
            <v>前端组</v>
          </cell>
          <cell r="G437" t="str">
            <v/>
          </cell>
        </row>
        <row r="438">
          <cell r="A438" t="str">
            <v>赵美荣</v>
          </cell>
          <cell r="B438" t="str">
            <v>17604604071</v>
          </cell>
          <cell r="C438" t="str">
            <v>在职</v>
          </cell>
          <cell r="D438" t="str">
            <v>marryzhao</v>
          </cell>
          <cell r="E438" t="str">
            <v>基础平台中心</v>
          </cell>
          <cell r="F438" t="str">
            <v>测试运维组</v>
          </cell>
          <cell r="G438" t="str">
            <v>基础运维组</v>
          </cell>
        </row>
        <row r="439">
          <cell r="A439" t="str">
            <v>洪丽丽</v>
          </cell>
          <cell r="B439" t="str">
            <v>18682281337</v>
          </cell>
          <cell r="C439" t="str">
            <v>在职</v>
          </cell>
          <cell r="D439" t="str">
            <v>veegeehong</v>
          </cell>
          <cell r="E439" t="str">
            <v>产品运营中心</v>
          </cell>
          <cell r="F439" t="str">
            <v>出海产品组</v>
          </cell>
          <cell r="G439" t="str">
            <v/>
          </cell>
        </row>
        <row r="440">
          <cell r="A440" t="str">
            <v>梁楚琰</v>
          </cell>
          <cell r="B440" t="str">
            <v>18476740911</v>
          </cell>
          <cell r="C440" t="str">
            <v>在职</v>
          </cell>
          <cell r="D440" t="str">
            <v>vickyliang</v>
          </cell>
          <cell r="E440" t="str">
            <v>产品运营中心</v>
          </cell>
          <cell r="F440" t="str">
            <v>客户服务组</v>
          </cell>
          <cell r="G440" t="str">
            <v>综合课程专项组</v>
          </cell>
        </row>
        <row r="441">
          <cell r="A441" t="str">
            <v>邱国盛</v>
          </cell>
          <cell r="B441" t="str">
            <v>18219117313</v>
          </cell>
          <cell r="C441" t="str">
            <v>在职</v>
          </cell>
          <cell r="D441" t="str">
            <v>gershonqiu</v>
          </cell>
          <cell r="E441" t="str">
            <v>基础平台中心</v>
          </cell>
          <cell r="F441" t="str">
            <v>出海研发组</v>
          </cell>
          <cell r="G441" t="str">
            <v/>
          </cell>
        </row>
        <row r="442">
          <cell r="A442" t="str">
            <v>黄新茹</v>
          </cell>
          <cell r="B442" t="str">
            <v>18318013306</v>
          </cell>
          <cell r="C442" t="str">
            <v>在职</v>
          </cell>
          <cell r="D442" t="str">
            <v>xinruhuang</v>
          </cell>
          <cell r="E442" t="str">
            <v>自营销售中心</v>
          </cell>
          <cell r="F442" t="str">
            <v>LA服务组</v>
          </cell>
          <cell r="G442" t="str">
            <v/>
          </cell>
        </row>
        <row r="443">
          <cell r="A443" t="str">
            <v>郑薇薇</v>
          </cell>
          <cell r="B443" t="str">
            <v>18300033385</v>
          </cell>
          <cell r="C443" t="str">
            <v>在职</v>
          </cell>
          <cell r="D443" t="str">
            <v>vevinazheng</v>
          </cell>
          <cell r="E443" t="str">
            <v>企培产品中心</v>
          </cell>
          <cell r="F443" t="str">
            <v>客户组</v>
          </cell>
          <cell r="G443" t="str">
            <v/>
          </cell>
        </row>
        <row r="444">
          <cell r="A444" t="str">
            <v>黄志军</v>
          </cell>
          <cell r="B444" t="str">
            <v>18007519740</v>
          </cell>
          <cell r="C444" t="str">
            <v>在职</v>
          </cell>
          <cell r="D444" t="str">
            <v>zhijunhuang</v>
          </cell>
          <cell r="E444" t="str">
            <v>产品运营中心</v>
          </cell>
          <cell r="F444" t="str">
            <v>客户服务组</v>
          </cell>
          <cell r="G444" t="str">
            <v>投诉热线组</v>
          </cell>
        </row>
        <row r="445">
          <cell r="A445" t="str">
            <v>邓楚楚</v>
          </cell>
          <cell r="B445" t="str">
            <v>13549638075</v>
          </cell>
          <cell r="C445" t="str">
            <v>在职</v>
          </cell>
          <cell r="D445" t="str">
            <v>cleardeng</v>
          </cell>
          <cell r="E445" t="str">
            <v>综合职能中心</v>
          </cell>
          <cell r="F445" t="str">
            <v>人力组</v>
          </cell>
          <cell r="G445" t="str">
            <v>薪酬绩效组</v>
          </cell>
        </row>
        <row r="446">
          <cell r="A446" t="str">
            <v>叶学武</v>
          </cell>
          <cell r="B446" t="str">
            <v>13755955752</v>
          </cell>
          <cell r="C446" t="str">
            <v>在职</v>
          </cell>
          <cell r="D446" t="str">
            <v>garyye</v>
          </cell>
          <cell r="E446" t="str">
            <v>产品运营中心</v>
          </cell>
          <cell r="F446" t="str">
            <v>客户服务组</v>
          </cell>
          <cell r="G446" t="str">
            <v>投诉热线组</v>
          </cell>
        </row>
        <row r="447">
          <cell r="A447" t="str">
            <v>陈茵怡</v>
          </cell>
          <cell r="B447" t="str">
            <v>18205207506</v>
          </cell>
          <cell r="C447" t="str">
            <v>在职</v>
          </cell>
          <cell r="D447" t="str">
            <v>ariachen</v>
          </cell>
          <cell r="E447" t="str">
            <v>产品运营中心</v>
          </cell>
          <cell r="F447" t="str">
            <v>运营组</v>
          </cell>
          <cell r="G447" t="str">
            <v/>
          </cell>
        </row>
        <row r="448">
          <cell r="A448" t="str">
            <v>程发</v>
          </cell>
          <cell r="B448" t="str">
            <v>13168034812</v>
          </cell>
          <cell r="C448" t="str">
            <v>在职</v>
          </cell>
          <cell r="D448" t="str">
            <v>franscheng</v>
          </cell>
          <cell r="E448" t="str">
            <v>直播产品中心</v>
          </cell>
          <cell r="F448" t="str">
            <v>后台二组</v>
          </cell>
          <cell r="G448" t="str">
            <v/>
          </cell>
        </row>
        <row r="449">
          <cell r="A449" t="str">
            <v>何树品</v>
          </cell>
          <cell r="B449" t="str">
            <v>18878498154</v>
          </cell>
          <cell r="C449" t="str">
            <v>在职</v>
          </cell>
          <cell r="D449" t="str">
            <v>kerwinhe</v>
          </cell>
          <cell r="E449" t="str">
            <v>电商产品中心</v>
          </cell>
          <cell r="F449" t="str">
            <v>电商后台二组</v>
          </cell>
          <cell r="G449" t="str">
            <v/>
          </cell>
        </row>
        <row r="450">
          <cell r="A450" t="str">
            <v>李萍萍</v>
          </cell>
          <cell r="B450" t="str">
            <v>18382082675</v>
          </cell>
          <cell r="C450" t="str">
            <v>在职</v>
          </cell>
          <cell r="D450" t="str">
            <v>vaeli</v>
          </cell>
          <cell r="E450" t="str">
            <v>基础平台中心</v>
          </cell>
          <cell r="F450" t="str">
            <v>测试运维组</v>
          </cell>
          <cell r="G450" t="str">
            <v>基础运维组</v>
          </cell>
        </row>
        <row r="451">
          <cell r="A451" t="str">
            <v>周灿鑫</v>
          </cell>
          <cell r="B451" t="str">
            <v>17665300513</v>
          </cell>
          <cell r="C451" t="str">
            <v>在职</v>
          </cell>
          <cell r="D451" t="str">
            <v>henryzhou</v>
          </cell>
          <cell r="E451" t="str">
            <v>产品运营中心</v>
          </cell>
          <cell r="F451" t="str">
            <v>客户服务组</v>
          </cell>
          <cell r="G451" t="str">
            <v>基础管家二组</v>
          </cell>
        </row>
        <row r="452">
          <cell r="A452" t="str">
            <v>谭梓琪</v>
          </cell>
          <cell r="B452" t="str">
            <v>17820575462</v>
          </cell>
          <cell r="C452" t="str">
            <v>在职</v>
          </cell>
          <cell r="D452" t="str">
            <v>zoeytan</v>
          </cell>
          <cell r="E452" t="str">
            <v>学习产品中心</v>
          </cell>
          <cell r="F452" t="str">
            <v>学习产品组</v>
          </cell>
          <cell r="G452" t="str">
            <v/>
          </cell>
        </row>
        <row r="453">
          <cell r="A453" t="str">
            <v>宋小明</v>
          </cell>
          <cell r="B453" t="str">
            <v>18664093579</v>
          </cell>
          <cell r="C453" t="str">
            <v>在职</v>
          </cell>
          <cell r="D453" t="str">
            <v>xiaomingsong</v>
          </cell>
          <cell r="E453" t="str">
            <v>数智平台中心</v>
          </cell>
          <cell r="F453" t="str">
            <v>数智后台三组</v>
          </cell>
          <cell r="G453" t="str">
            <v/>
          </cell>
        </row>
        <row r="454">
          <cell r="A454" t="str">
            <v>刘力</v>
          </cell>
          <cell r="B454" t="str">
            <v>18665881511</v>
          </cell>
          <cell r="C454" t="str">
            <v>在职</v>
          </cell>
          <cell r="D454" t="str">
            <v>leeliu</v>
          </cell>
          <cell r="E454" t="str">
            <v>直播平台中心</v>
          </cell>
          <cell r="F454" t="str">
            <v>客户端开发组</v>
          </cell>
          <cell r="G454" t="str">
            <v/>
          </cell>
        </row>
        <row r="455">
          <cell r="A455" t="str">
            <v>袁翊</v>
          </cell>
          <cell r="B455" t="str">
            <v>13824298010</v>
          </cell>
          <cell r="C455" t="str">
            <v>在职</v>
          </cell>
          <cell r="D455" t="str">
            <v>wollcoyuan</v>
          </cell>
          <cell r="E455" t="str">
            <v>产品运营中心</v>
          </cell>
          <cell r="F455" t="str">
            <v>客户服务组</v>
          </cell>
          <cell r="G455" t="str">
            <v>基础管家一组</v>
          </cell>
        </row>
        <row r="456">
          <cell r="A456" t="str">
            <v>张兆宇</v>
          </cell>
          <cell r="B456" t="str">
            <v>13530904972</v>
          </cell>
          <cell r="C456" t="str">
            <v>在职</v>
          </cell>
          <cell r="D456" t="str">
            <v>zivzhang</v>
          </cell>
          <cell r="E456" t="str">
            <v>企培产品中心</v>
          </cell>
          <cell r="F456" t="str">
            <v>企培产品组</v>
          </cell>
          <cell r="G456" t="str">
            <v/>
          </cell>
        </row>
        <row r="457">
          <cell r="A457" t="str">
            <v>周加全</v>
          </cell>
          <cell r="B457" t="str">
            <v>17607960521</v>
          </cell>
          <cell r="C457" t="str">
            <v>在职</v>
          </cell>
          <cell r="D457" t="str">
            <v>jiaquanzhou</v>
          </cell>
          <cell r="E457" t="str">
            <v>学习产品中心</v>
          </cell>
          <cell r="F457" t="str">
            <v>学习平台组</v>
          </cell>
          <cell r="G457" t="str">
            <v/>
          </cell>
        </row>
        <row r="458">
          <cell r="A458" t="str">
            <v>陈思薇</v>
          </cell>
          <cell r="B458" t="str">
            <v>13768918258</v>
          </cell>
          <cell r="C458" t="str">
            <v>在职</v>
          </cell>
          <cell r="D458" t="str">
            <v>sereinchen</v>
          </cell>
          <cell r="E458" t="str">
            <v>基础平台中心</v>
          </cell>
          <cell r="F458" t="str">
            <v>基础安全组</v>
          </cell>
          <cell r="G458" t="str">
            <v/>
          </cell>
        </row>
        <row r="459">
          <cell r="A459" t="str">
            <v>陈泳潼</v>
          </cell>
          <cell r="B459" t="str">
            <v>15919600522</v>
          </cell>
          <cell r="C459" t="str">
            <v>在职</v>
          </cell>
          <cell r="D459" t="str">
            <v>yongtongchen</v>
          </cell>
          <cell r="E459" t="str">
            <v>营销产品中心</v>
          </cell>
          <cell r="F459" t="str">
            <v>营销前端组</v>
          </cell>
          <cell r="G459" t="str">
            <v/>
          </cell>
        </row>
        <row r="460">
          <cell r="A460" t="str">
            <v>许立堃</v>
          </cell>
          <cell r="B460" t="str">
            <v>13580516229</v>
          </cell>
          <cell r="C460" t="str">
            <v>在职</v>
          </cell>
          <cell r="D460" t="str">
            <v>lincolnxu</v>
          </cell>
          <cell r="E460" t="str">
            <v>营销产品中心</v>
          </cell>
          <cell r="F460" t="str">
            <v>营销产品组</v>
          </cell>
          <cell r="G460" t="str">
            <v/>
          </cell>
        </row>
        <row r="461">
          <cell r="A461" t="str">
            <v>侯朗地</v>
          </cell>
          <cell r="B461" t="str">
            <v>15197751526</v>
          </cell>
          <cell r="C461" t="str">
            <v>在职</v>
          </cell>
          <cell r="D461" t="str">
            <v>randyhou</v>
          </cell>
          <cell r="E461" t="str">
            <v>直播平台中心</v>
          </cell>
          <cell r="F461" t="str">
            <v>APP开发组</v>
          </cell>
          <cell r="G461" t="str">
            <v/>
          </cell>
        </row>
        <row r="462">
          <cell r="A462" t="str">
            <v>黄俊</v>
          </cell>
          <cell r="B462" t="str">
            <v>17608413922</v>
          </cell>
          <cell r="C462" t="str">
            <v>在职</v>
          </cell>
          <cell r="D462" t="str">
            <v>ejunhuang</v>
          </cell>
          <cell r="E462" t="str">
            <v>直播平台中心</v>
          </cell>
          <cell r="F462" t="str">
            <v>直播后台开发组</v>
          </cell>
          <cell r="G462" t="str">
            <v/>
          </cell>
        </row>
        <row r="463">
          <cell r="A463" t="str">
            <v>罗婧琪</v>
          </cell>
          <cell r="B463" t="str">
            <v>15024019892</v>
          </cell>
          <cell r="C463" t="str">
            <v>在职</v>
          </cell>
          <cell r="D463" t="str">
            <v>mialuo</v>
          </cell>
          <cell r="E463" t="str">
            <v>生态运营中心</v>
          </cell>
          <cell r="F463" t="str">
            <v>生态行业运营组</v>
          </cell>
          <cell r="G463" t="str">
            <v/>
          </cell>
        </row>
        <row r="464">
          <cell r="A464" t="str">
            <v>刘玲艳</v>
          </cell>
          <cell r="B464" t="str">
            <v>19928774849</v>
          </cell>
          <cell r="C464" t="str">
            <v>在职</v>
          </cell>
          <cell r="D464" t="str">
            <v>lilianliu</v>
          </cell>
          <cell r="E464" t="str">
            <v>产品运营中心</v>
          </cell>
          <cell r="F464" t="str">
            <v>运营组</v>
          </cell>
          <cell r="G464" t="str">
            <v/>
          </cell>
        </row>
        <row r="465">
          <cell r="A465" t="str">
            <v>周泱</v>
          </cell>
          <cell r="B465" t="str">
            <v>15170203052</v>
          </cell>
          <cell r="C465" t="str">
            <v>在职</v>
          </cell>
          <cell r="D465" t="str">
            <v>alicezhou</v>
          </cell>
          <cell r="E465" t="str">
            <v>自营销售中心</v>
          </cell>
          <cell r="F465" t="str">
            <v>业务经理组</v>
          </cell>
          <cell r="G465" t="str">
            <v/>
          </cell>
        </row>
        <row r="466">
          <cell r="A466" t="str">
            <v>王鹏</v>
          </cell>
          <cell r="B466" t="str">
            <v>18390551972</v>
          </cell>
          <cell r="C466" t="str">
            <v>在职</v>
          </cell>
          <cell r="D466" t="str">
            <v>pennwang</v>
          </cell>
          <cell r="E466" t="str">
            <v>学习产品中心</v>
          </cell>
          <cell r="F466" t="str">
            <v>APP业务组</v>
          </cell>
          <cell r="G466" t="str">
            <v/>
          </cell>
        </row>
        <row r="467">
          <cell r="A467" t="str">
            <v>郑佳宇</v>
          </cell>
          <cell r="B467" t="str">
            <v>15827935172</v>
          </cell>
          <cell r="C467" t="str">
            <v>在职</v>
          </cell>
          <cell r="D467" t="str">
            <v>jiayuzheng</v>
          </cell>
          <cell r="E467" t="str">
            <v>直播产品中心</v>
          </cell>
          <cell r="F467" t="str">
            <v>后台二组</v>
          </cell>
          <cell r="G467" t="str">
            <v/>
          </cell>
        </row>
        <row r="468">
          <cell r="A468" t="str">
            <v>杨世豪</v>
          </cell>
          <cell r="B468" t="str">
            <v>18270880615</v>
          </cell>
          <cell r="C468" t="str">
            <v>在职</v>
          </cell>
          <cell r="D468" t="str">
            <v>lucasyang</v>
          </cell>
          <cell r="E468" t="str">
            <v>基础平台中心</v>
          </cell>
          <cell r="F468" t="str">
            <v>前端开发组</v>
          </cell>
          <cell r="G468" t="str">
            <v/>
          </cell>
        </row>
        <row r="469">
          <cell r="A469" t="str">
            <v>李亮</v>
          </cell>
          <cell r="B469" t="str">
            <v>15606903964</v>
          </cell>
          <cell r="C469" t="str">
            <v>在职</v>
          </cell>
          <cell r="D469" t="str">
            <v>liangli</v>
          </cell>
          <cell r="E469" t="str">
            <v>基础平台中心</v>
          </cell>
          <cell r="F469" t="str">
            <v>素材中心组</v>
          </cell>
          <cell r="G469" t="str">
            <v/>
          </cell>
        </row>
        <row r="470">
          <cell r="A470" t="str">
            <v>吴泽权</v>
          </cell>
          <cell r="B470" t="str">
            <v>15217980296</v>
          </cell>
          <cell r="C470" t="str">
            <v>在职</v>
          </cell>
          <cell r="D470" t="str">
            <v>zequanwu</v>
          </cell>
          <cell r="E470" t="str">
            <v>营销产品中心</v>
          </cell>
          <cell r="F470" t="str">
            <v>营销前端组</v>
          </cell>
          <cell r="G470" t="str">
            <v/>
          </cell>
        </row>
        <row r="471">
          <cell r="A471" t="str">
            <v>范昊</v>
          </cell>
          <cell r="B471" t="str">
            <v>18988794949</v>
          </cell>
          <cell r="C471" t="str">
            <v>在职</v>
          </cell>
          <cell r="D471" t="str">
            <v>fanfan</v>
          </cell>
          <cell r="E471" t="str">
            <v>综合职能中心</v>
          </cell>
          <cell r="F471" t="str">
            <v>人力组</v>
          </cell>
          <cell r="G471" t="str">
            <v>培训组</v>
          </cell>
        </row>
        <row r="472">
          <cell r="A472" t="str">
            <v>邹文芊</v>
          </cell>
          <cell r="B472" t="str">
            <v>15521178872</v>
          </cell>
          <cell r="C472" t="str">
            <v>在职</v>
          </cell>
          <cell r="D472" t="str">
            <v>vikozou</v>
          </cell>
          <cell r="E472" t="str">
            <v>品牌运营中心</v>
          </cell>
          <cell r="F472" t="str">
            <v>新媒体组</v>
          </cell>
          <cell r="G472" t="str">
            <v/>
          </cell>
        </row>
        <row r="473">
          <cell r="A473" t="str">
            <v>谢凯弘</v>
          </cell>
          <cell r="B473" t="str">
            <v>15907539016</v>
          </cell>
          <cell r="C473" t="str">
            <v>在职</v>
          </cell>
          <cell r="D473" t="str">
            <v>paulxie</v>
          </cell>
          <cell r="E473" t="str">
            <v>直播平台中心</v>
          </cell>
          <cell r="F473" t="str">
            <v>直播后台开发组</v>
          </cell>
          <cell r="G473" t="str">
            <v/>
          </cell>
        </row>
        <row r="474">
          <cell r="A474" t="str">
            <v>单文骥</v>
          </cell>
          <cell r="B474" t="str">
            <v>17688911966</v>
          </cell>
          <cell r="C474" t="str">
            <v>在职</v>
          </cell>
          <cell r="D474" t="str">
            <v>devinshan</v>
          </cell>
          <cell r="E474" t="str">
            <v>直播平台中心</v>
          </cell>
          <cell r="F474" t="str">
            <v>直播后台开发组</v>
          </cell>
          <cell r="G474" t="str">
            <v/>
          </cell>
        </row>
        <row r="475">
          <cell r="A475" t="str">
            <v>潘俊杰</v>
          </cell>
          <cell r="B475" t="str">
            <v>13427432535</v>
          </cell>
          <cell r="C475" t="str">
            <v>在职</v>
          </cell>
          <cell r="D475" t="str">
            <v>benpan</v>
          </cell>
          <cell r="E475" t="str">
            <v>直播平台中心</v>
          </cell>
          <cell r="F475" t="str">
            <v>前端应用开发组</v>
          </cell>
          <cell r="G475" t="str">
            <v/>
          </cell>
        </row>
        <row r="476">
          <cell r="A476" t="str">
            <v>林美琪</v>
          </cell>
          <cell r="B476" t="str">
            <v>15819821798</v>
          </cell>
          <cell r="C476" t="str">
            <v>在职</v>
          </cell>
          <cell r="D476" t="str">
            <v>mikilin</v>
          </cell>
          <cell r="E476" t="str">
            <v>品牌运营中心</v>
          </cell>
          <cell r="F476" t="str">
            <v>训练营运营组</v>
          </cell>
          <cell r="G476" t="str">
            <v>售前训练营组</v>
          </cell>
        </row>
        <row r="477">
          <cell r="A477" t="str">
            <v>朱锦红</v>
          </cell>
          <cell r="B477" t="str">
            <v>18923423254</v>
          </cell>
          <cell r="C477" t="str">
            <v>在职</v>
          </cell>
          <cell r="D477" t="str">
            <v>mandyzhu</v>
          </cell>
          <cell r="E477" t="str">
            <v>自营销售中心</v>
          </cell>
          <cell r="F477" t="str">
            <v>LA销售组</v>
          </cell>
          <cell r="G477" t="str">
            <v>医美组</v>
          </cell>
        </row>
        <row r="478">
          <cell r="A478" t="str">
            <v>王津</v>
          </cell>
          <cell r="B478" t="str">
            <v>18633512125</v>
          </cell>
          <cell r="C478" t="str">
            <v>在职</v>
          </cell>
          <cell r="D478" t="str">
            <v>kyrenewang</v>
          </cell>
          <cell r="E478" t="str">
            <v>中心负责人</v>
          </cell>
          <cell r="F478" t="str">
            <v/>
          </cell>
          <cell r="G478" t="str">
            <v/>
          </cell>
        </row>
        <row r="479">
          <cell r="A479" t="str">
            <v>杨周翰</v>
          </cell>
          <cell r="B479" t="str">
            <v>15576553850</v>
          </cell>
          <cell r="C479" t="str">
            <v>在职</v>
          </cell>
          <cell r="D479" t="str">
            <v>hammyyang</v>
          </cell>
          <cell r="E479" t="str">
            <v>直播产品中心</v>
          </cell>
          <cell r="F479" t="str">
            <v>前端组</v>
          </cell>
          <cell r="G479" t="str">
            <v/>
          </cell>
        </row>
        <row r="480">
          <cell r="A480" t="str">
            <v>梅海玉</v>
          </cell>
          <cell r="B480" t="str">
            <v>15112563029</v>
          </cell>
          <cell r="C480" t="str">
            <v>在职</v>
          </cell>
          <cell r="D480" t="str">
            <v>haiyumei</v>
          </cell>
          <cell r="E480" t="str">
            <v>品牌运营中心</v>
          </cell>
          <cell r="F480" t="str">
            <v>私域实验组</v>
          </cell>
          <cell r="G480" t="str">
            <v/>
          </cell>
        </row>
        <row r="481">
          <cell r="A481" t="str">
            <v>舒钰</v>
          </cell>
          <cell r="B481" t="str">
            <v>15674908463</v>
          </cell>
          <cell r="C481" t="str">
            <v>在职</v>
          </cell>
          <cell r="D481" t="str">
            <v>yushu</v>
          </cell>
          <cell r="E481" t="str">
            <v>基础平台中心</v>
          </cell>
          <cell r="F481" t="str">
            <v>基础安全组</v>
          </cell>
          <cell r="G481" t="str">
            <v/>
          </cell>
        </row>
        <row r="482">
          <cell r="A482" t="str">
            <v>杨姣姣</v>
          </cell>
          <cell r="B482" t="str">
            <v>17692180878</v>
          </cell>
          <cell r="C482" t="str">
            <v>在职</v>
          </cell>
          <cell r="D482" t="str">
            <v>jiaojiaoyang</v>
          </cell>
          <cell r="E482" t="str">
            <v>KA销售中心</v>
          </cell>
          <cell r="F482" t="str">
            <v>渠道服务支持组</v>
          </cell>
          <cell r="G482" t="str">
            <v/>
          </cell>
        </row>
        <row r="483">
          <cell r="A483" t="str">
            <v>钟子豪</v>
          </cell>
          <cell r="B483" t="str">
            <v>13148788319</v>
          </cell>
          <cell r="C483" t="str">
            <v>在职</v>
          </cell>
          <cell r="D483" t="str">
            <v>timzhong</v>
          </cell>
          <cell r="E483" t="str">
            <v>品牌运营中心</v>
          </cell>
          <cell r="F483" t="str">
            <v>训练营运营组</v>
          </cell>
          <cell r="G483" t="str">
            <v>售前训练营组</v>
          </cell>
        </row>
        <row r="484">
          <cell r="A484" t="str">
            <v>许泽森</v>
          </cell>
          <cell r="B484" t="str">
            <v>13480303758</v>
          </cell>
          <cell r="C484" t="str">
            <v>在职</v>
          </cell>
          <cell r="D484" t="str">
            <v>leoxu</v>
          </cell>
          <cell r="E484" t="str">
            <v>基础平台中心</v>
          </cell>
          <cell r="F484" t="str">
            <v>素材中心组</v>
          </cell>
          <cell r="G484" t="str">
            <v/>
          </cell>
        </row>
        <row r="485">
          <cell r="A485" t="str">
            <v>周世坤</v>
          </cell>
          <cell r="B485" t="str">
            <v>13911102627</v>
          </cell>
          <cell r="C485" t="str">
            <v>在职</v>
          </cell>
          <cell r="D485" t="str">
            <v>stephenzhou</v>
          </cell>
          <cell r="E485" t="str">
            <v>中心负责人</v>
          </cell>
          <cell r="F485" t="str">
            <v/>
          </cell>
          <cell r="G485" t="str">
            <v/>
          </cell>
        </row>
        <row r="486">
          <cell r="A486" t="str">
            <v>周红华</v>
          </cell>
          <cell r="B486" t="str">
            <v>17840979627</v>
          </cell>
          <cell r="C486" t="str">
            <v>在职</v>
          </cell>
          <cell r="D486" t="str">
            <v>blizzardzhou</v>
          </cell>
          <cell r="E486" t="str">
            <v>直播产品中心</v>
          </cell>
          <cell r="F486" t="str">
            <v>后台一组</v>
          </cell>
          <cell r="G486" t="str">
            <v/>
          </cell>
        </row>
        <row r="487">
          <cell r="A487" t="str">
            <v>郑志飞</v>
          </cell>
          <cell r="B487" t="str">
            <v>18374821193</v>
          </cell>
          <cell r="C487" t="str">
            <v>在职</v>
          </cell>
          <cell r="D487" t="str">
            <v>zhifeizheng</v>
          </cell>
          <cell r="E487" t="str">
            <v>自营销售中心</v>
          </cell>
          <cell r="F487" t="str">
            <v>业务经理组</v>
          </cell>
          <cell r="G487" t="str">
            <v/>
          </cell>
        </row>
        <row r="488">
          <cell r="A488" t="str">
            <v>李琨</v>
          </cell>
          <cell r="B488" t="str">
            <v>17630506930</v>
          </cell>
          <cell r="C488" t="str">
            <v>在职</v>
          </cell>
          <cell r="D488" t="str">
            <v>kunli</v>
          </cell>
          <cell r="E488" t="str">
            <v>数智平台中心</v>
          </cell>
          <cell r="F488" t="str">
            <v>数智后台一组</v>
          </cell>
          <cell r="G488" t="str">
            <v/>
          </cell>
        </row>
        <row r="489">
          <cell r="A489" t="str">
            <v>林谋权</v>
          </cell>
          <cell r="B489" t="str">
            <v>16607557671</v>
          </cell>
          <cell r="C489" t="str">
            <v>在职</v>
          </cell>
          <cell r="D489" t="str">
            <v>mouquanlin</v>
          </cell>
          <cell r="E489" t="str">
            <v>直播产品中心</v>
          </cell>
          <cell r="F489" t="str">
            <v>后台一组</v>
          </cell>
          <cell r="G489" t="str">
            <v/>
          </cell>
        </row>
        <row r="490">
          <cell r="A490" t="str">
            <v>酆益</v>
          </cell>
          <cell r="B490" t="str">
            <v>13714569224</v>
          </cell>
          <cell r="C490" t="str">
            <v>在职</v>
          </cell>
          <cell r="D490" t="str">
            <v>nicholasfeng</v>
          </cell>
          <cell r="E490" t="str">
            <v>学习产品中心</v>
          </cell>
          <cell r="F490" t="str">
            <v>助学业务组</v>
          </cell>
          <cell r="G490" t="str">
            <v/>
          </cell>
        </row>
        <row r="491">
          <cell r="A491" t="str">
            <v>黄徐震</v>
          </cell>
          <cell r="B491" t="str">
            <v>18650484327</v>
          </cell>
          <cell r="C491" t="str">
            <v>在职</v>
          </cell>
          <cell r="D491" t="str">
            <v>vurihuang</v>
          </cell>
          <cell r="E491" t="str">
            <v>基础平台中心</v>
          </cell>
          <cell r="F491" t="str">
            <v>素材中心组</v>
          </cell>
          <cell r="G491" t="str">
            <v/>
          </cell>
        </row>
        <row r="492">
          <cell r="A492" t="str">
            <v>谢一帆</v>
          </cell>
          <cell r="B492" t="str">
            <v>15711883380</v>
          </cell>
          <cell r="C492" t="str">
            <v>在职</v>
          </cell>
          <cell r="D492" t="str">
            <v>yifanxie</v>
          </cell>
          <cell r="E492" t="str">
            <v>自营销售中心</v>
          </cell>
          <cell r="F492" t="str">
            <v>业务经理组</v>
          </cell>
          <cell r="G492" t="str">
            <v/>
          </cell>
        </row>
        <row r="493">
          <cell r="A493" t="str">
            <v>江子欣</v>
          </cell>
          <cell r="B493" t="str">
            <v>13750076097</v>
          </cell>
          <cell r="C493" t="str">
            <v>在职</v>
          </cell>
          <cell r="D493" t="str">
            <v>zixinjiang</v>
          </cell>
          <cell r="E493" t="str">
            <v>企培产品中心</v>
          </cell>
          <cell r="F493" t="str">
            <v>企培产品组</v>
          </cell>
          <cell r="G493" t="str">
            <v/>
          </cell>
        </row>
        <row r="494">
          <cell r="A494" t="str">
            <v>李武侯</v>
          </cell>
          <cell r="B494" t="str">
            <v>18122711212</v>
          </cell>
          <cell r="C494" t="str">
            <v>在职</v>
          </cell>
          <cell r="D494" t="str">
            <v>williamli</v>
          </cell>
          <cell r="E494" t="str">
            <v>直播平台中心</v>
          </cell>
          <cell r="F494" t="str">
            <v>前端应用开发组</v>
          </cell>
          <cell r="G494" t="str">
            <v/>
          </cell>
        </row>
        <row r="495">
          <cell r="A495" t="str">
            <v>孙然</v>
          </cell>
          <cell r="B495" t="str">
            <v>17876565364</v>
          </cell>
          <cell r="C495" t="str">
            <v>在职</v>
          </cell>
          <cell r="D495" t="str">
            <v>riansun</v>
          </cell>
          <cell r="E495" t="str">
            <v>企培产品中心</v>
          </cell>
          <cell r="F495" t="str">
            <v>企培产品组</v>
          </cell>
          <cell r="G495" t="str">
            <v/>
          </cell>
        </row>
        <row r="496">
          <cell r="A496" t="str">
            <v>陈昭助</v>
          </cell>
          <cell r="B496" t="str">
            <v>15602909782</v>
          </cell>
          <cell r="C496" t="str">
            <v>在职</v>
          </cell>
          <cell r="D496" t="str">
            <v>georgechen</v>
          </cell>
          <cell r="E496" t="str">
            <v>自营销售中心</v>
          </cell>
          <cell r="F496" t="str">
            <v>LA销售组</v>
          </cell>
          <cell r="G496" t="str">
            <v>金融组</v>
          </cell>
        </row>
        <row r="497">
          <cell r="A497" t="str">
            <v>杨琦鸿</v>
          </cell>
          <cell r="B497" t="str">
            <v>13120572376</v>
          </cell>
          <cell r="C497" t="str">
            <v>在职</v>
          </cell>
          <cell r="D497" t="str">
            <v>cherryyang</v>
          </cell>
          <cell r="E497" t="str">
            <v>产品运营中心</v>
          </cell>
          <cell r="F497" t="str">
            <v>客户服务组</v>
          </cell>
          <cell r="G497" t="str">
            <v>投诉热线组</v>
          </cell>
        </row>
        <row r="498">
          <cell r="A498" t="str">
            <v>闫立泽</v>
          </cell>
          <cell r="B498" t="str">
            <v>15512151875</v>
          </cell>
          <cell r="C498" t="str">
            <v>在职</v>
          </cell>
          <cell r="D498" t="str">
            <v>danielyan</v>
          </cell>
          <cell r="E498" t="str">
            <v>KA销售中心</v>
          </cell>
          <cell r="F498" t="str">
            <v>渠道合作组-华北区</v>
          </cell>
          <cell r="G498" t="str">
            <v/>
          </cell>
        </row>
        <row r="499">
          <cell r="A499" t="str">
            <v>霍亚婷</v>
          </cell>
          <cell r="B499" t="str">
            <v>19833180281</v>
          </cell>
          <cell r="C499" t="str">
            <v>在职</v>
          </cell>
          <cell r="D499" t="str">
            <v>tillyhuo</v>
          </cell>
          <cell r="E499" t="str">
            <v>品牌运营中心</v>
          </cell>
          <cell r="F499" t="str">
            <v>社群运营组</v>
          </cell>
          <cell r="G499" t="str">
            <v/>
          </cell>
        </row>
        <row r="500">
          <cell r="A500" t="str">
            <v>袁肖帆</v>
          </cell>
          <cell r="B500" t="str">
            <v>15274506162</v>
          </cell>
          <cell r="C500" t="str">
            <v>在职</v>
          </cell>
          <cell r="D500" t="str">
            <v>xiaofanyuan</v>
          </cell>
          <cell r="E500" t="str">
            <v>直播平台中心</v>
          </cell>
          <cell r="F500" t="str">
            <v>客户端开发组</v>
          </cell>
          <cell r="G500" t="str">
            <v/>
          </cell>
        </row>
        <row r="501">
          <cell r="A501" t="str">
            <v>黄婉婷</v>
          </cell>
          <cell r="B501" t="str">
            <v>15218422723</v>
          </cell>
          <cell r="C501" t="str">
            <v>在职</v>
          </cell>
          <cell r="D501" t="str">
            <v>alitahuang</v>
          </cell>
          <cell r="E501" t="str">
            <v>自营销售中心</v>
          </cell>
          <cell r="F501" t="str">
            <v>LA服务组</v>
          </cell>
          <cell r="G501" t="str">
            <v/>
          </cell>
        </row>
        <row r="502">
          <cell r="A502" t="str">
            <v>刘宗良</v>
          </cell>
          <cell r="B502" t="str">
            <v>17620446783</v>
          </cell>
          <cell r="C502" t="str">
            <v>在职</v>
          </cell>
          <cell r="D502" t="str">
            <v>zongliangliu</v>
          </cell>
          <cell r="E502" t="str">
            <v>产品运营中心</v>
          </cell>
          <cell r="F502" t="str">
            <v>客户服务组</v>
          </cell>
          <cell r="G502" t="str">
            <v>直播电商专项组</v>
          </cell>
        </row>
        <row r="503">
          <cell r="A503" t="str">
            <v>胡润彬</v>
          </cell>
          <cell r="B503" t="str">
            <v>15918995668</v>
          </cell>
          <cell r="C503" t="str">
            <v>在职</v>
          </cell>
          <cell r="D503" t="str">
            <v>hymanhu</v>
          </cell>
          <cell r="E503" t="str">
            <v>运营支持中心</v>
          </cell>
          <cell r="F503" t="str">
            <v>新零售服务二组</v>
          </cell>
          <cell r="G503" t="str">
            <v/>
          </cell>
        </row>
        <row r="504">
          <cell r="A504" t="str">
            <v>李梦圆</v>
          </cell>
          <cell r="B504" t="str">
            <v>18639027120</v>
          </cell>
          <cell r="C504" t="str">
            <v>在职</v>
          </cell>
          <cell r="D504" t="str">
            <v>selenceli</v>
          </cell>
          <cell r="E504" t="str">
            <v>综合职能中心</v>
          </cell>
          <cell r="F504" t="str">
            <v>质量检查组</v>
          </cell>
          <cell r="G504" t="str">
            <v/>
          </cell>
        </row>
        <row r="505">
          <cell r="A505" t="str">
            <v>王勇</v>
          </cell>
          <cell r="B505" t="str">
            <v>18825175723</v>
          </cell>
          <cell r="C505" t="str">
            <v>在职</v>
          </cell>
          <cell r="D505" t="str">
            <v>allanwang</v>
          </cell>
          <cell r="E505" t="str">
            <v>自营销售中心</v>
          </cell>
          <cell r="F505" t="str">
            <v>SDR一组</v>
          </cell>
          <cell r="G505" t="str">
            <v/>
          </cell>
        </row>
        <row r="506">
          <cell r="A506" t="str">
            <v>赵晓旋</v>
          </cell>
          <cell r="B506" t="str">
            <v>13128558112</v>
          </cell>
          <cell r="C506" t="str">
            <v>在职</v>
          </cell>
          <cell r="D506" t="str">
            <v>sonmyzhao</v>
          </cell>
          <cell r="E506" t="str">
            <v>基础平台中心</v>
          </cell>
          <cell r="F506" t="str">
            <v>测试运维组</v>
          </cell>
          <cell r="G506" t="str">
            <v>基础运维组</v>
          </cell>
        </row>
        <row r="507">
          <cell r="A507" t="str">
            <v>陈浩雄</v>
          </cell>
          <cell r="B507" t="str">
            <v>17366750164</v>
          </cell>
          <cell r="C507" t="str">
            <v>在职</v>
          </cell>
          <cell r="D507" t="str">
            <v>wilsonchen</v>
          </cell>
          <cell r="E507" t="str">
            <v>基础平台中心</v>
          </cell>
          <cell r="F507" t="str">
            <v>基础平台组</v>
          </cell>
          <cell r="G507" t="str">
            <v/>
          </cell>
        </row>
        <row r="508">
          <cell r="A508" t="str">
            <v>欧阳德达</v>
          </cell>
          <cell r="B508" t="str">
            <v>13726972027</v>
          </cell>
          <cell r="C508" t="str">
            <v>在职</v>
          </cell>
          <cell r="D508" t="str">
            <v>youngouyang</v>
          </cell>
          <cell r="E508" t="str">
            <v>品牌运营中心</v>
          </cell>
          <cell r="F508" t="str">
            <v>视觉组</v>
          </cell>
          <cell r="G508" t="str">
            <v/>
          </cell>
        </row>
        <row r="509">
          <cell r="A509" t="str">
            <v>高杨</v>
          </cell>
          <cell r="B509" t="str">
            <v>17840980907</v>
          </cell>
          <cell r="C509" t="str">
            <v>在职</v>
          </cell>
          <cell r="D509" t="str">
            <v>angelgao</v>
          </cell>
          <cell r="E509" t="str">
            <v>综合职能中心</v>
          </cell>
          <cell r="F509" t="str">
            <v>质量检查组</v>
          </cell>
          <cell r="G509" t="str">
            <v/>
          </cell>
        </row>
        <row r="510">
          <cell r="A510" t="str">
            <v>吴欣雨</v>
          </cell>
          <cell r="B510" t="str">
            <v>13478461649</v>
          </cell>
          <cell r="C510" t="str">
            <v>在职</v>
          </cell>
          <cell r="D510" t="str">
            <v>abbywu</v>
          </cell>
          <cell r="E510" t="str">
            <v>生态运营中心</v>
          </cell>
          <cell r="F510" t="str">
            <v/>
          </cell>
          <cell r="G510" t="str">
            <v/>
          </cell>
        </row>
        <row r="511">
          <cell r="A511" t="str">
            <v>藤苍伟</v>
          </cell>
          <cell r="B511" t="str">
            <v>17644019254</v>
          </cell>
          <cell r="C511" t="str">
            <v>在职</v>
          </cell>
          <cell r="D511" t="str">
            <v>cangweiteng</v>
          </cell>
          <cell r="E511" t="str">
            <v>综合职能中心</v>
          </cell>
          <cell r="F511" t="str">
            <v>CEO创新小组</v>
          </cell>
          <cell r="G511" t="str">
            <v>出海运营组</v>
          </cell>
        </row>
        <row r="512">
          <cell r="A512" t="str">
            <v>梅纬</v>
          </cell>
          <cell r="B512" t="str">
            <v>13590402061</v>
          </cell>
          <cell r="C512" t="str">
            <v>在职</v>
          </cell>
          <cell r="D512" t="str">
            <v>weimei</v>
          </cell>
          <cell r="E512" t="str">
            <v>直播平台中心</v>
          </cell>
          <cell r="F512" t="str">
            <v>客户端开发组</v>
          </cell>
          <cell r="G512" t="str">
            <v/>
          </cell>
        </row>
        <row r="513">
          <cell r="A513" t="str">
            <v>叶景睿</v>
          </cell>
          <cell r="B513" t="str">
            <v>13809889439</v>
          </cell>
          <cell r="C513" t="str">
            <v>在职</v>
          </cell>
          <cell r="D513" t="str">
            <v>reyye</v>
          </cell>
          <cell r="E513" t="str">
            <v>产品运营中心</v>
          </cell>
          <cell r="F513" t="str">
            <v>客户服务组</v>
          </cell>
          <cell r="G513" t="str">
            <v>基础管家一组</v>
          </cell>
        </row>
        <row r="514">
          <cell r="A514" t="str">
            <v>郭梦婷</v>
          </cell>
          <cell r="B514" t="str">
            <v>17828067206</v>
          </cell>
          <cell r="C514" t="str">
            <v>在职</v>
          </cell>
          <cell r="D514" t="str">
            <v>mengtingguo</v>
          </cell>
          <cell r="E514" t="str">
            <v>自营销售中心</v>
          </cell>
          <cell r="F514" t="str">
            <v>SDR二组</v>
          </cell>
          <cell r="G514" t="str">
            <v/>
          </cell>
        </row>
        <row r="515">
          <cell r="A515" t="str">
            <v>杨杰</v>
          </cell>
          <cell r="B515" t="str">
            <v>13317795704</v>
          </cell>
          <cell r="C515" t="str">
            <v>在职</v>
          </cell>
          <cell r="D515" t="str">
            <v>jeycri</v>
          </cell>
          <cell r="E515" t="str">
            <v>直播平台中心</v>
          </cell>
          <cell r="F515" t="str">
            <v>客户端开发组</v>
          </cell>
          <cell r="G515" t="str">
            <v/>
          </cell>
        </row>
        <row r="516">
          <cell r="A516" t="str">
            <v>吴伟钊</v>
          </cell>
          <cell r="B516" t="str">
            <v>13725210511</v>
          </cell>
          <cell r="C516" t="str">
            <v>在职</v>
          </cell>
          <cell r="D516" t="str">
            <v>wuweizhao</v>
          </cell>
          <cell r="E516" t="str">
            <v>战略投资中心</v>
          </cell>
          <cell r="F516" t="str">
            <v>风控组</v>
          </cell>
          <cell r="G516" t="str">
            <v/>
          </cell>
        </row>
        <row r="517">
          <cell r="A517" t="str">
            <v>符弟</v>
          </cell>
          <cell r="B517" t="str">
            <v>13976354975</v>
          </cell>
          <cell r="C517" t="str">
            <v>在职</v>
          </cell>
          <cell r="D517" t="str">
            <v>fudi</v>
          </cell>
          <cell r="E517" t="str">
            <v>战略投资中心</v>
          </cell>
          <cell r="F517" t="str">
            <v>风控组</v>
          </cell>
          <cell r="G517" t="str">
            <v/>
          </cell>
        </row>
        <row r="518">
          <cell r="A518" t="str">
            <v>文涛</v>
          </cell>
          <cell r="B518" t="str">
            <v>18621584315</v>
          </cell>
          <cell r="C518" t="str">
            <v>在职</v>
          </cell>
          <cell r="D518" t="str">
            <v>owenwen</v>
          </cell>
          <cell r="E518" t="str">
            <v>生态运营中心</v>
          </cell>
          <cell r="F518" t="str">
            <v>KA运营组</v>
          </cell>
          <cell r="G518" t="str">
            <v/>
          </cell>
        </row>
        <row r="519">
          <cell r="A519" t="str">
            <v>李晓丰</v>
          </cell>
          <cell r="B519" t="str">
            <v>15594996298</v>
          </cell>
          <cell r="C519" t="str">
            <v>在职</v>
          </cell>
          <cell r="D519" t="str">
            <v>finnli</v>
          </cell>
          <cell r="E519" t="str">
            <v>品牌运营中心</v>
          </cell>
          <cell r="F519" t="str">
            <v>视觉组</v>
          </cell>
          <cell r="G519" t="str">
            <v/>
          </cell>
        </row>
        <row r="520">
          <cell r="A520" t="str">
            <v>龙子泉</v>
          </cell>
          <cell r="B520" t="str">
            <v>15770518982</v>
          </cell>
          <cell r="C520" t="str">
            <v>在职</v>
          </cell>
          <cell r="D520" t="str">
            <v>seanlong</v>
          </cell>
          <cell r="E520" t="str">
            <v>战略投资中心</v>
          </cell>
          <cell r="F520" t="str">
            <v>风控组</v>
          </cell>
          <cell r="G520" t="str">
            <v/>
          </cell>
        </row>
        <row r="521">
          <cell r="A521" t="str">
            <v>彭彦博</v>
          </cell>
          <cell r="B521" t="str">
            <v>18018751270</v>
          </cell>
          <cell r="C521" t="str">
            <v>在职</v>
          </cell>
          <cell r="D521" t="str">
            <v>rockypeng</v>
          </cell>
          <cell r="E521" t="str">
            <v>直播平台中心</v>
          </cell>
          <cell r="F521" t="str">
            <v>客户端开发组</v>
          </cell>
          <cell r="G521" t="str">
            <v/>
          </cell>
        </row>
        <row r="522">
          <cell r="A522" t="str">
            <v>林锦生</v>
          </cell>
          <cell r="B522" t="str">
            <v>13682675232</v>
          </cell>
          <cell r="C522" t="str">
            <v>在职</v>
          </cell>
          <cell r="D522" t="str">
            <v>zerolin</v>
          </cell>
          <cell r="E522" t="str">
            <v>运营支持中心</v>
          </cell>
          <cell r="F522" t="str">
            <v>新零售服务二组</v>
          </cell>
          <cell r="G522" t="str">
            <v/>
          </cell>
        </row>
        <row r="523">
          <cell r="A523" t="str">
            <v>林桂泽</v>
          </cell>
          <cell r="B523" t="str">
            <v>18818427625</v>
          </cell>
          <cell r="C523" t="str">
            <v>在职</v>
          </cell>
          <cell r="D523" t="str">
            <v>caeserlin</v>
          </cell>
          <cell r="E523" t="str">
            <v>品牌运营中心</v>
          </cell>
          <cell r="F523" t="str">
            <v>新媒体组</v>
          </cell>
          <cell r="G523" t="str">
            <v/>
          </cell>
        </row>
        <row r="524">
          <cell r="A524" t="str">
            <v>雷宇杰</v>
          </cell>
          <cell r="B524" t="str">
            <v>18126823472</v>
          </cell>
          <cell r="C524" t="str">
            <v>在职</v>
          </cell>
          <cell r="D524" t="str">
            <v>yujielei</v>
          </cell>
          <cell r="E524" t="str">
            <v>自营销售中心</v>
          </cell>
          <cell r="F524" t="str">
            <v>SDR二组</v>
          </cell>
          <cell r="G524" t="str">
            <v/>
          </cell>
        </row>
        <row r="525">
          <cell r="A525" t="str">
            <v>吴婉莹</v>
          </cell>
          <cell r="B525" t="str">
            <v>15813047003</v>
          </cell>
          <cell r="C525" t="str">
            <v>在职</v>
          </cell>
          <cell r="D525" t="str">
            <v>jackiewu</v>
          </cell>
          <cell r="E525" t="str">
            <v>自营销售中心</v>
          </cell>
          <cell r="F525" t="str">
            <v>SDR二组</v>
          </cell>
          <cell r="G525" t="str">
            <v/>
          </cell>
        </row>
        <row r="526">
          <cell r="A526" t="str">
            <v>张康乐</v>
          </cell>
          <cell r="B526" t="str">
            <v>18058783808</v>
          </cell>
          <cell r="C526" t="str">
            <v>在职</v>
          </cell>
          <cell r="D526" t="str">
            <v>nickzhang</v>
          </cell>
          <cell r="E526" t="str">
            <v>品牌运营中心</v>
          </cell>
          <cell r="F526" t="str">
            <v>私域实验组</v>
          </cell>
          <cell r="G526" t="str">
            <v/>
          </cell>
        </row>
        <row r="527">
          <cell r="A527" t="str">
            <v>朱元雄</v>
          </cell>
          <cell r="B527" t="str">
            <v>18898589457</v>
          </cell>
          <cell r="C527" t="str">
            <v>在职</v>
          </cell>
          <cell r="D527" t="str">
            <v>yuanxiongzhu</v>
          </cell>
          <cell r="E527" t="str">
            <v>产品运营中心</v>
          </cell>
          <cell r="F527" t="str">
            <v>客户服务组</v>
          </cell>
          <cell r="G527" t="str">
            <v>综合课程专项组</v>
          </cell>
        </row>
        <row r="528">
          <cell r="A528" t="str">
            <v>廖慧莲</v>
          </cell>
          <cell r="B528" t="str">
            <v>17882212292</v>
          </cell>
          <cell r="C528" t="str">
            <v>在职</v>
          </cell>
          <cell r="D528" t="str">
            <v>dorisliao</v>
          </cell>
          <cell r="E528" t="str">
            <v>产品运营中心</v>
          </cell>
          <cell r="F528" t="str">
            <v>产品体验组</v>
          </cell>
          <cell r="G528" t="str">
            <v/>
          </cell>
        </row>
        <row r="529">
          <cell r="A529" t="str">
            <v>李炯</v>
          </cell>
          <cell r="B529" t="str">
            <v>18898593978</v>
          </cell>
          <cell r="C529" t="str">
            <v>在职</v>
          </cell>
          <cell r="D529" t="str">
            <v>doerli</v>
          </cell>
          <cell r="E529" t="str">
            <v>产品运营中心</v>
          </cell>
          <cell r="F529" t="str">
            <v>客户服务组</v>
          </cell>
          <cell r="G529" t="str">
            <v>基础管家一组</v>
          </cell>
        </row>
        <row r="530">
          <cell r="A530" t="str">
            <v>张思敏</v>
          </cell>
          <cell r="B530" t="str">
            <v>18026992572</v>
          </cell>
          <cell r="C530" t="str">
            <v>在职</v>
          </cell>
          <cell r="D530" t="str">
            <v>jasminezhang</v>
          </cell>
          <cell r="E530" t="str">
            <v>财务中心</v>
          </cell>
          <cell r="F530" t="str">
            <v>业务财务组</v>
          </cell>
          <cell r="G530" t="str">
            <v/>
          </cell>
        </row>
        <row r="531">
          <cell r="A531" t="str">
            <v>郭睿哲</v>
          </cell>
          <cell r="B531" t="str">
            <v>17640416607</v>
          </cell>
          <cell r="C531" t="str">
            <v>在职</v>
          </cell>
          <cell r="D531" t="str">
            <v>jocallguo</v>
          </cell>
          <cell r="E531" t="str">
            <v>品牌运营中心</v>
          </cell>
          <cell r="F531" t="str">
            <v>新媒体组</v>
          </cell>
          <cell r="G531" t="str">
            <v/>
          </cell>
        </row>
        <row r="532">
          <cell r="A532" t="str">
            <v>汪淑萱</v>
          </cell>
          <cell r="B532" t="str">
            <v>15602907683</v>
          </cell>
          <cell r="C532" t="str">
            <v>在职</v>
          </cell>
          <cell r="D532" t="str">
            <v>lucywang</v>
          </cell>
          <cell r="E532" t="str">
            <v>自营销售中心</v>
          </cell>
          <cell r="F532" t="str">
            <v>SDR一组</v>
          </cell>
          <cell r="G532" t="str">
            <v/>
          </cell>
        </row>
        <row r="533">
          <cell r="A533" t="str">
            <v>揭云祥</v>
          </cell>
          <cell r="B533" t="str">
            <v>18236455636</v>
          </cell>
          <cell r="C533" t="str">
            <v>在职</v>
          </cell>
          <cell r="D533" t="str">
            <v>leojie</v>
          </cell>
          <cell r="E533" t="str">
            <v>自营销售中心</v>
          </cell>
          <cell r="F533" t="str">
            <v>SDR一组</v>
          </cell>
          <cell r="G533" t="str">
            <v/>
          </cell>
        </row>
        <row r="534">
          <cell r="A534" t="str">
            <v>蔡晓洁</v>
          </cell>
          <cell r="B534" t="str">
            <v>18190239956</v>
          </cell>
          <cell r="C534" t="str">
            <v>在职</v>
          </cell>
          <cell r="D534" t="str">
            <v>lilithcai</v>
          </cell>
          <cell r="E534" t="str">
            <v>直播平台中心</v>
          </cell>
          <cell r="F534" t="str">
            <v>客户端开发组</v>
          </cell>
          <cell r="G534" t="str">
            <v/>
          </cell>
        </row>
        <row r="535">
          <cell r="A535" t="str">
            <v>王涛</v>
          </cell>
          <cell r="B535" t="str">
            <v>17607670183</v>
          </cell>
          <cell r="C535" t="str">
            <v>在职</v>
          </cell>
          <cell r="D535" t="str">
            <v>tommywang</v>
          </cell>
          <cell r="E535" t="str">
            <v>自营销售中心</v>
          </cell>
          <cell r="F535" t="str">
            <v>自营服务支持组</v>
          </cell>
          <cell r="G535" t="str">
            <v/>
          </cell>
        </row>
        <row r="536">
          <cell r="A536" t="str">
            <v>李鑫</v>
          </cell>
          <cell r="B536" t="str">
            <v>18270020920</v>
          </cell>
          <cell r="C536" t="str">
            <v>在职</v>
          </cell>
          <cell r="D536" t="str">
            <v>xixinli</v>
          </cell>
          <cell r="E536" t="str">
            <v>直播产品中心</v>
          </cell>
          <cell r="F536" t="str">
            <v>后台二组</v>
          </cell>
          <cell r="G536" t="str">
            <v/>
          </cell>
        </row>
        <row r="537">
          <cell r="A537" t="str">
            <v>陈玲玲</v>
          </cell>
          <cell r="B537" t="str">
            <v>13670065474</v>
          </cell>
          <cell r="C537" t="str">
            <v>在职</v>
          </cell>
          <cell r="D537" t="str">
            <v>viennachen</v>
          </cell>
          <cell r="E537" t="str">
            <v>品牌运营中心</v>
          </cell>
          <cell r="F537" t="str">
            <v>训练营运营组</v>
          </cell>
          <cell r="G537" t="str">
            <v>售前训练营组</v>
          </cell>
        </row>
        <row r="538">
          <cell r="A538" t="str">
            <v>戴文超</v>
          </cell>
          <cell r="B538" t="str">
            <v>15919774760</v>
          </cell>
          <cell r="C538" t="str">
            <v>在职</v>
          </cell>
          <cell r="D538" t="str">
            <v>danieldai</v>
          </cell>
          <cell r="E538" t="str">
            <v>财务中心</v>
          </cell>
          <cell r="F538" t="str">
            <v>业务财务组</v>
          </cell>
          <cell r="G538" t="str">
            <v/>
          </cell>
        </row>
        <row r="539">
          <cell r="A539" t="str">
            <v>肖海燕</v>
          </cell>
          <cell r="B539" t="str">
            <v>18576648522</v>
          </cell>
          <cell r="C539" t="str">
            <v>在职</v>
          </cell>
          <cell r="D539" t="str">
            <v>eillenxiao</v>
          </cell>
          <cell r="E539" t="str">
            <v>自营销售中心</v>
          </cell>
          <cell r="F539" t="str">
            <v>自营投放组</v>
          </cell>
          <cell r="G539" t="str">
            <v/>
          </cell>
        </row>
        <row r="540">
          <cell r="A540" t="str">
            <v>吕洁洁</v>
          </cell>
          <cell r="B540" t="str">
            <v>18620399250</v>
          </cell>
          <cell r="C540" t="str">
            <v>在职</v>
          </cell>
          <cell r="D540" t="str">
            <v>doralv</v>
          </cell>
          <cell r="E540" t="str">
            <v>自营销售中心</v>
          </cell>
          <cell r="F540" t="str">
            <v>SDR二组</v>
          </cell>
          <cell r="G540" t="str">
            <v/>
          </cell>
        </row>
        <row r="541">
          <cell r="A541" t="str">
            <v>陈晓凤</v>
          </cell>
          <cell r="B541" t="str">
            <v>13763375283</v>
          </cell>
          <cell r="C541" t="str">
            <v>在职</v>
          </cell>
          <cell r="D541" t="str">
            <v>conniechen</v>
          </cell>
          <cell r="E541" t="str">
            <v>自营销售中心</v>
          </cell>
          <cell r="F541" t="str">
            <v>自营投放组</v>
          </cell>
          <cell r="G541" t="str">
            <v/>
          </cell>
        </row>
        <row r="542">
          <cell r="A542" t="str">
            <v>黄夕格</v>
          </cell>
          <cell r="B542" t="str">
            <v>17774707065</v>
          </cell>
          <cell r="C542" t="str">
            <v>在职</v>
          </cell>
          <cell r="D542" t="str">
            <v>siennahuang</v>
          </cell>
          <cell r="E542" t="str">
            <v>基础平台中心</v>
          </cell>
          <cell r="F542" t="str">
            <v>基础安全组</v>
          </cell>
          <cell r="G542" t="str">
            <v/>
          </cell>
        </row>
        <row r="543">
          <cell r="A543" t="str">
            <v>江小鱼</v>
          </cell>
          <cell r="B543" t="str">
            <v>18789902060</v>
          </cell>
          <cell r="C543" t="str">
            <v>在职</v>
          </cell>
          <cell r="D543" t="str">
            <v>xiaoyujiang</v>
          </cell>
          <cell r="E543" t="str">
            <v>基础平台中心</v>
          </cell>
          <cell r="F543" t="str">
            <v>出海研发组</v>
          </cell>
          <cell r="G543" t="str">
            <v/>
          </cell>
        </row>
        <row r="544">
          <cell r="A544" t="str">
            <v>穆宇杰</v>
          </cell>
          <cell r="B544" t="str">
            <v>17715145332</v>
          </cell>
          <cell r="C544" t="str">
            <v>在职</v>
          </cell>
          <cell r="D544" t="str">
            <v>yujiemu</v>
          </cell>
          <cell r="E544" t="str">
            <v>战略投资中心</v>
          </cell>
          <cell r="F544" t="str">
            <v>投资组</v>
          </cell>
          <cell r="G544" t="str">
            <v/>
          </cell>
        </row>
        <row r="545">
          <cell r="A545" t="str">
            <v>邓亚飞</v>
          </cell>
          <cell r="B545" t="str">
            <v>17818589435</v>
          </cell>
          <cell r="C545" t="str">
            <v>在职</v>
          </cell>
          <cell r="D545" t="str">
            <v>yafeideng</v>
          </cell>
          <cell r="E545" t="str">
            <v>数智平台中心</v>
          </cell>
          <cell r="F545" t="str">
            <v>数智前端组</v>
          </cell>
          <cell r="G545" t="str">
            <v/>
          </cell>
        </row>
        <row r="546">
          <cell r="A546" t="str">
            <v>魏明阳</v>
          </cell>
          <cell r="B546" t="str">
            <v>15072255959</v>
          </cell>
          <cell r="C546" t="str">
            <v>在职</v>
          </cell>
          <cell r="D546" t="str">
            <v>soulwei</v>
          </cell>
          <cell r="E546" t="str">
            <v>自营销售中心</v>
          </cell>
          <cell r="F546" t="str">
            <v>SDR一组</v>
          </cell>
          <cell r="G546" t="str">
            <v/>
          </cell>
        </row>
        <row r="547">
          <cell r="A547" t="str">
            <v>路悦</v>
          </cell>
          <cell r="B547" t="str">
            <v>15801283987</v>
          </cell>
          <cell r="C547" t="str">
            <v>在职</v>
          </cell>
          <cell r="D547" t="str">
            <v>cassielu</v>
          </cell>
          <cell r="E547" t="str">
            <v>学习产品中心</v>
          </cell>
          <cell r="F547" t="str">
            <v>学习产品组</v>
          </cell>
          <cell r="G547" t="str">
            <v/>
          </cell>
        </row>
        <row r="548">
          <cell r="A548" t="str">
            <v>刘彬</v>
          </cell>
          <cell r="B548" t="str">
            <v>18852851080</v>
          </cell>
          <cell r="C548" t="str">
            <v>在职</v>
          </cell>
          <cell r="D548" t="str">
            <v>Lynn</v>
          </cell>
          <cell r="E548" t="str">
            <v>财务中心</v>
          </cell>
          <cell r="F548" t="str">
            <v>业务财务组</v>
          </cell>
          <cell r="G548" t="str">
            <v/>
          </cell>
        </row>
        <row r="549">
          <cell r="A549" t="str">
            <v>宋天逸</v>
          </cell>
          <cell r="B549" t="str">
            <v>16634126051</v>
          </cell>
          <cell r="C549" t="str">
            <v>在职</v>
          </cell>
          <cell r="D549" t="str">
            <v>willsong</v>
          </cell>
          <cell r="E549" t="str">
            <v>学习产品中心</v>
          </cell>
          <cell r="F549" t="str">
            <v>圈子业务组</v>
          </cell>
          <cell r="G549" t="str">
            <v/>
          </cell>
        </row>
        <row r="550">
          <cell r="A550" t="str">
            <v>魏丽琴</v>
          </cell>
          <cell r="B550" t="str">
            <v>15622887177</v>
          </cell>
          <cell r="C550" t="str">
            <v>在职</v>
          </cell>
          <cell r="D550" t="str">
            <v>greenwei</v>
          </cell>
          <cell r="E550" t="str">
            <v>品牌运营中心</v>
          </cell>
          <cell r="F550" t="str">
            <v>新媒体组</v>
          </cell>
          <cell r="G550" t="str">
            <v/>
          </cell>
        </row>
        <row r="551">
          <cell r="A551" t="str">
            <v>刘政翰</v>
          </cell>
          <cell r="B551" t="str">
            <v>18612110008</v>
          </cell>
          <cell r="C551" t="str">
            <v>在职</v>
          </cell>
          <cell r="D551" t="str">
            <v>hanliu</v>
          </cell>
          <cell r="E551" t="str">
            <v>生态运营中心</v>
          </cell>
          <cell r="F551" t="str">
            <v>KA运营组</v>
          </cell>
          <cell r="G551" t="str">
            <v/>
          </cell>
        </row>
        <row r="552">
          <cell r="A552" t="str">
            <v>许鹏涛</v>
          </cell>
          <cell r="B552" t="str">
            <v>15756022628</v>
          </cell>
          <cell r="C552" t="str">
            <v>在职</v>
          </cell>
          <cell r="D552" t="str">
            <v>lightxu</v>
          </cell>
          <cell r="E552" t="str">
            <v>基础平台中心</v>
          </cell>
          <cell r="F552" t="str">
            <v>测试运维组</v>
          </cell>
          <cell r="G552" t="str">
            <v>平台测试组</v>
          </cell>
        </row>
        <row r="553">
          <cell r="A553" t="str">
            <v>王婉秋</v>
          </cell>
          <cell r="B553" t="str">
            <v>15945045396</v>
          </cell>
          <cell r="C553" t="str">
            <v>在职</v>
          </cell>
          <cell r="D553" t="str">
            <v>Beatrice</v>
          </cell>
          <cell r="E553" t="str">
            <v>企培产品中心</v>
          </cell>
          <cell r="F553" t="str">
            <v>企培业务组</v>
          </cell>
          <cell r="G553" t="str">
            <v/>
          </cell>
        </row>
        <row r="554">
          <cell r="A554" t="str">
            <v>李继成</v>
          </cell>
          <cell r="B554" t="str">
            <v>18201304288</v>
          </cell>
          <cell r="C554" t="str">
            <v>在职</v>
          </cell>
          <cell r="D554" t="str">
            <v>jasonli</v>
          </cell>
          <cell r="E554" t="str">
            <v>KA销售中心</v>
          </cell>
          <cell r="F554" t="str">
            <v>KA销售组</v>
          </cell>
          <cell r="G554" t="str">
            <v/>
          </cell>
        </row>
        <row r="555">
          <cell r="A555" t="str">
            <v>洪嘉纯</v>
          </cell>
          <cell r="B555" t="str">
            <v>17322506545</v>
          </cell>
          <cell r="C555" t="str">
            <v>在职</v>
          </cell>
          <cell r="D555" t="str">
            <v>channeyhong</v>
          </cell>
          <cell r="E555" t="str">
            <v>基础平台中心</v>
          </cell>
          <cell r="F555" t="str">
            <v>测试运维组</v>
          </cell>
          <cell r="G555" t="str">
            <v>平台测试组</v>
          </cell>
        </row>
        <row r="556">
          <cell r="A556" t="str">
            <v>冯玥茜</v>
          </cell>
          <cell r="B556" t="str">
            <v>17688926837</v>
          </cell>
          <cell r="C556" t="str">
            <v>在职</v>
          </cell>
          <cell r="D556" t="str">
            <v>caciquefeng</v>
          </cell>
          <cell r="E556" t="str">
            <v>直播平台中心</v>
          </cell>
          <cell r="F556" t="str">
            <v>直播产品组</v>
          </cell>
          <cell r="G556" t="str">
            <v/>
          </cell>
        </row>
        <row r="557">
          <cell r="A557" t="str">
            <v>刘敏</v>
          </cell>
          <cell r="B557" t="str">
            <v>13651402618</v>
          </cell>
          <cell r="C557" t="str">
            <v>在职</v>
          </cell>
          <cell r="D557" t="str">
            <v>fionaliu</v>
          </cell>
          <cell r="E557" t="str">
            <v>电商产品中心</v>
          </cell>
          <cell r="F557" t="str">
            <v>电商产品组</v>
          </cell>
          <cell r="G557" t="str">
            <v/>
          </cell>
        </row>
        <row r="558">
          <cell r="A558" t="str">
            <v>汪红宇</v>
          </cell>
          <cell r="B558" t="str">
            <v>17674194771</v>
          </cell>
          <cell r="C558" t="str">
            <v>在职</v>
          </cell>
          <cell r="D558" t="str">
            <v>hongyuwang</v>
          </cell>
          <cell r="E558" t="str">
            <v>产品运营中心</v>
          </cell>
          <cell r="F558" t="str">
            <v>客户服务组</v>
          </cell>
          <cell r="G558" t="str">
            <v>综合课程专项组</v>
          </cell>
        </row>
        <row r="559">
          <cell r="A559" t="str">
            <v>李振朝</v>
          </cell>
          <cell r="B559" t="str">
            <v>18813917123</v>
          </cell>
          <cell r="C559" t="str">
            <v>在职</v>
          </cell>
          <cell r="D559" t="str">
            <v>chilamli</v>
          </cell>
          <cell r="E559" t="str">
            <v>学习产品中心</v>
          </cell>
          <cell r="F559" t="str">
            <v>APP业务组</v>
          </cell>
          <cell r="G559" t="str">
            <v/>
          </cell>
        </row>
        <row r="560">
          <cell r="A560" t="str">
            <v>王蓉蓉</v>
          </cell>
          <cell r="B560" t="str">
            <v>18689517601</v>
          </cell>
          <cell r="C560" t="str">
            <v>在职</v>
          </cell>
          <cell r="D560" t="str">
            <v>melodywang</v>
          </cell>
          <cell r="E560" t="str">
            <v>产品运营中心</v>
          </cell>
          <cell r="F560" t="str">
            <v>客户服务组</v>
          </cell>
          <cell r="G560" t="str">
            <v>基础管家一组</v>
          </cell>
        </row>
        <row r="561">
          <cell r="A561" t="str">
            <v>杜吉媛</v>
          </cell>
          <cell r="B561" t="str">
            <v>15222513082</v>
          </cell>
          <cell r="C561" t="str">
            <v>在职</v>
          </cell>
          <cell r="D561" t="str">
            <v>tinadu</v>
          </cell>
          <cell r="E561" t="str">
            <v>生态运营中心</v>
          </cell>
          <cell r="F561" t="str">
            <v>生态行业运营组</v>
          </cell>
          <cell r="G561" t="str">
            <v/>
          </cell>
        </row>
        <row r="562">
          <cell r="A562" t="str">
            <v>杨岚</v>
          </cell>
          <cell r="B562" t="str">
            <v>13810809437</v>
          </cell>
          <cell r="C562" t="str">
            <v>在职</v>
          </cell>
          <cell r="D562" t="str">
            <v>jasmineyang</v>
          </cell>
          <cell r="E562" t="str">
            <v>综合职能中心</v>
          </cell>
          <cell r="F562" t="str">
            <v>人力组</v>
          </cell>
          <cell r="G562" t="str">
            <v>培训组</v>
          </cell>
        </row>
        <row r="563">
          <cell r="A563" t="str">
            <v>韩海光</v>
          </cell>
          <cell r="B563" t="str">
            <v>18789317206</v>
          </cell>
          <cell r="C563" t="str">
            <v>在职</v>
          </cell>
          <cell r="D563" t="str">
            <v>linkhan</v>
          </cell>
          <cell r="E563" t="str">
            <v>直播产品中心</v>
          </cell>
          <cell r="F563" t="str">
            <v>前端组</v>
          </cell>
          <cell r="G563" t="str">
            <v/>
          </cell>
        </row>
        <row r="564">
          <cell r="A564" t="str">
            <v>梁育宜</v>
          </cell>
          <cell r="B564" t="str">
            <v>18176660664</v>
          </cell>
          <cell r="C564" t="str">
            <v>在职</v>
          </cell>
          <cell r="D564" t="str">
            <v>yuyiliang</v>
          </cell>
          <cell r="E564" t="str">
            <v>电商产品中心</v>
          </cell>
          <cell r="F564" t="str">
            <v>电商前端一组</v>
          </cell>
          <cell r="G564" t="str">
            <v/>
          </cell>
        </row>
        <row r="565">
          <cell r="A565" t="str">
            <v>罗灿</v>
          </cell>
          <cell r="B565" t="str">
            <v>15986920734</v>
          </cell>
          <cell r="C565" t="str">
            <v>在职</v>
          </cell>
          <cell r="D565" t="str">
            <v>robinluo</v>
          </cell>
          <cell r="E565" t="str">
            <v>直播平台中心</v>
          </cell>
          <cell r="F565" t="str">
            <v>APP开发组</v>
          </cell>
          <cell r="G565" t="str">
            <v/>
          </cell>
        </row>
        <row r="566">
          <cell r="A566" t="str">
            <v>江龙涛</v>
          </cell>
          <cell r="B566" t="str">
            <v>18565321324</v>
          </cell>
          <cell r="C566" t="str">
            <v>在职</v>
          </cell>
          <cell r="D566" t="str">
            <v>casparjiang</v>
          </cell>
          <cell r="E566" t="str">
            <v>产品运营中心</v>
          </cell>
          <cell r="F566" t="str">
            <v>基础产品组</v>
          </cell>
          <cell r="G566" t="str">
            <v/>
          </cell>
        </row>
        <row r="567">
          <cell r="A567" t="str">
            <v>梁媚妹</v>
          </cell>
          <cell r="B567" t="str">
            <v>15712177017</v>
          </cell>
          <cell r="C567" t="str">
            <v>在职</v>
          </cell>
          <cell r="D567" t="str">
            <v>mayliang</v>
          </cell>
          <cell r="E567" t="str">
            <v>自营销售中心</v>
          </cell>
          <cell r="F567" t="str">
            <v>SDR二组</v>
          </cell>
          <cell r="G567" t="str">
            <v/>
          </cell>
        </row>
        <row r="568">
          <cell r="A568" t="str">
            <v>孙楠</v>
          </cell>
          <cell r="B568" t="str">
            <v>18856701218</v>
          </cell>
          <cell r="C568" t="str">
            <v>在职</v>
          </cell>
          <cell r="D568" t="str">
            <v>nansun</v>
          </cell>
          <cell r="E568" t="str">
            <v>自营销售中心</v>
          </cell>
          <cell r="F568" t="str">
            <v>SDR一组</v>
          </cell>
          <cell r="G568" t="str">
            <v/>
          </cell>
        </row>
        <row r="569">
          <cell r="A569" t="str">
            <v>程帆</v>
          </cell>
          <cell r="B569" t="str">
            <v>18838190556</v>
          </cell>
          <cell r="C569" t="str">
            <v>在职</v>
          </cell>
          <cell r="D569" t="str">
            <v>ritacheng</v>
          </cell>
          <cell r="E569" t="str">
            <v>产品运营中心</v>
          </cell>
          <cell r="F569" t="str">
            <v>客户服务组</v>
          </cell>
          <cell r="G569" t="str">
            <v>基础管家一组</v>
          </cell>
        </row>
        <row r="570">
          <cell r="A570" t="str">
            <v>黄宝生</v>
          </cell>
          <cell r="B570" t="str">
            <v>13424369869</v>
          </cell>
          <cell r="C570" t="str">
            <v>在职</v>
          </cell>
          <cell r="D570" t="str">
            <v>felixhuang</v>
          </cell>
          <cell r="E570" t="str">
            <v>直播产品中心</v>
          </cell>
          <cell r="F570" t="str">
            <v>产品组</v>
          </cell>
          <cell r="G570" t="str">
            <v/>
          </cell>
        </row>
        <row r="571">
          <cell r="A571" t="str">
            <v>李苏州</v>
          </cell>
          <cell r="B571" t="str">
            <v>15317869591</v>
          </cell>
          <cell r="C571" t="str">
            <v>在职</v>
          </cell>
          <cell r="D571" t="str">
            <v>suzhouli</v>
          </cell>
          <cell r="E571" t="str">
            <v>自营销售中心</v>
          </cell>
          <cell r="F571" t="str">
            <v>LA销售组</v>
          </cell>
          <cell r="G571" t="str">
            <v>企服组</v>
          </cell>
        </row>
        <row r="572">
          <cell r="A572" t="str">
            <v>叶樱姿</v>
          </cell>
          <cell r="B572" t="str">
            <v>18688748474</v>
          </cell>
          <cell r="C572" t="str">
            <v>在职</v>
          </cell>
          <cell r="D572" t="str">
            <v>bonnyye</v>
          </cell>
          <cell r="E572" t="str">
            <v>综合职能中心</v>
          </cell>
          <cell r="F572" t="str">
            <v>行政组</v>
          </cell>
          <cell r="G572" t="str">
            <v/>
          </cell>
        </row>
        <row r="573">
          <cell r="A573" t="str">
            <v>李得宝</v>
          </cell>
          <cell r="B573" t="str">
            <v>15921085215</v>
          </cell>
          <cell r="C573" t="str">
            <v>在职</v>
          </cell>
          <cell r="D573" t="str">
            <v>tempoli</v>
          </cell>
          <cell r="E573" t="str">
            <v>自营销售中心</v>
          </cell>
          <cell r="F573" t="str">
            <v>业务经理组</v>
          </cell>
          <cell r="G573" t="str">
            <v/>
          </cell>
        </row>
        <row r="574">
          <cell r="A574" t="str">
            <v>谢水方</v>
          </cell>
          <cell r="B574" t="str">
            <v>18673177434</v>
          </cell>
          <cell r="C574" t="str">
            <v>在职</v>
          </cell>
          <cell r="D574" t="str">
            <v>hopexie</v>
          </cell>
          <cell r="E574" t="str">
            <v>财务中心</v>
          </cell>
          <cell r="F574" t="str">
            <v>财务组</v>
          </cell>
          <cell r="G574" t="str">
            <v/>
          </cell>
        </row>
        <row r="575">
          <cell r="A575" t="str">
            <v>杨俊杰</v>
          </cell>
          <cell r="B575" t="str">
            <v>13828839460</v>
          </cell>
          <cell r="C575" t="str">
            <v>在职</v>
          </cell>
          <cell r="D575" t="str">
            <v>junjieyang</v>
          </cell>
          <cell r="E575" t="str">
            <v>产品运营中心</v>
          </cell>
          <cell r="F575" t="str">
            <v>客户服务组</v>
          </cell>
          <cell r="G575" t="str">
            <v>基础管家二组</v>
          </cell>
        </row>
        <row r="576">
          <cell r="A576" t="str">
            <v>周金欣</v>
          </cell>
          <cell r="B576" t="str">
            <v>13650938170</v>
          </cell>
          <cell r="C576" t="str">
            <v>在职</v>
          </cell>
          <cell r="D576" t="str">
            <v>jesszhou</v>
          </cell>
          <cell r="E576" t="str">
            <v>财务中心</v>
          </cell>
          <cell r="F576" t="str">
            <v>财务组</v>
          </cell>
          <cell r="G576" t="str">
            <v/>
          </cell>
        </row>
        <row r="577">
          <cell r="A577" t="str">
            <v>魏涵喆</v>
          </cell>
          <cell r="B577" t="str">
            <v>13203852333</v>
          </cell>
          <cell r="C577" t="str">
            <v>在职</v>
          </cell>
          <cell r="D577" t="str">
            <v>ricardowei</v>
          </cell>
          <cell r="E577" t="str">
            <v>基础平台中心</v>
          </cell>
          <cell r="F577" t="str">
            <v>测试运维组</v>
          </cell>
          <cell r="G577" t="str">
            <v>快消测试组</v>
          </cell>
        </row>
        <row r="578">
          <cell r="A578" t="str">
            <v>郑祺玮</v>
          </cell>
          <cell r="B578" t="str">
            <v>13246672045</v>
          </cell>
          <cell r="C578" t="str">
            <v>在职</v>
          </cell>
          <cell r="D578" t="str">
            <v>churchzheng</v>
          </cell>
          <cell r="E578" t="str">
            <v>电商产品中心</v>
          </cell>
          <cell r="F578" t="str">
            <v>电商产品组</v>
          </cell>
          <cell r="G578" t="str">
            <v/>
          </cell>
        </row>
        <row r="579">
          <cell r="A579" t="str">
            <v>张宝琳</v>
          </cell>
          <cell r="B579" t="str">
            <v>15107193229</v>
          </cell>
          <cell r="C579" t="str">
            <v>在职</v>
          </cell>
          <cell r="D579" t="str">
            <v>paulinezhang</v>
          </cell>
          <cell r="E579" t="str">
            <v>运营支持中心</v>
          </cell>
          <cell r="F579" t="str">
            <v>法务组</v>
          </cell>
          <cell r="G579" t="str">
            <v/>
          </cell>
        </row>
        <row r="580">
          <cell r="A580" t="str">
            <v>黄永鹏</v>
          </cell>
          <cell r="B580" t="str">
            <v>18420547727</v>
          </cell>
          <cell r="C580" t="str">
            <v>在职</v>
          </cell>
          <cell r="D580" t="str">
            <v>winghuang</v>
          </cell>
          <cell r="E580" t="str">
            <v>直播产品中心</v>
          </cell>
          <cell r="F580" t="str">
            <v>后台一组</v>
          </cell>
          <cell r="G580" t="str">
            <v/>
          </cell>
        </row>
        <row r="581">
          <cell r="A581" t="str">
            <v>沈嘉泰</v>
          </cell>
          <cell r="B581" t="str">
            <v>19925067078</v>
          </cell>
          <cell r="C581" t="str">
            <v>在职</v>
          </cell>
          <cell r="D581" t="str">
            <v>jalvlueshen</v>
          </cell>
          <cell r="E581" t="str">
            <v>企培产品中心</v>
          </cell>
          <cell r="F581" t="str">
            <v>企培研发组</v>
          </cell>
          <cell r="G581" t="str">
            <v/>
          </cell>
        </row>
        <row r="582">
          <cell r="A582" t="str">
            <v>章支富</v>
          </cell>
          <cell r="B582" t="str">
            <v>15927278402</v>
          </cell>
          <cell r="C582" t="str">
            <v>在职</v>
          </cell>
          <cell r="D582" t="str">
            <v>iveszhang</v>
          </cell>
          <cell r="E582" t="str">
            <v>数智平台中心</v>
          </cell>
          <cell r="F582" t="str">
            <v>数智后台二组</v>
          </cell>
          <cell r="G582" t="str">
            <v/>
          </cell>
        </row>
        <row r="583">
          <cell r="A583" t="str">
            <v>刘丛源</v>
          </cell>
          <cell r="B583" t="str">
            <v>13601341990</v>
          </cell>
          <cell r="C583" t="str">
            <v>在职</v>
          </cell>
          <cell r="D583" t="str">
            <v>madisonliu</v>
          </cell>
          <cell r="E583" t="str">
            <v>生态运营中心</v>
          </cell>
          <cell r="F583" t="str">
            <v>KA运营组</v>
          </cell>
          <cell r="G583" t="str">
            <v/>
          </cell>
        </row>
        <row r="584">
          <cell r="A584" t="str">
            <v>焦婵</v>
          </cell>
          <cell r="B584" t="str">
            <v>16619942716</v>
          </cell>
          <cell r="C584" t="str">
            <v>在职</v>
          </cell>
          <cell r="D584" t="str">
            <v>chelseajiao</v>
          </cell>
          <cell r="E584" t="str">
            <v>战略投资中心</v>
          </cell>
          <cell r="F584" t="str">
            <v>风控组</v>
          </cell>
          <cell r="G584" t="str">
            <v/>
          </cell>
        </row>
        <row r="585">
          <cell r="A585" t="str">
            <v>龙嘉慧</v>
          </cell>
          <cell r="B585" t="str">
            <v>13699753300</v>
          </cell>
          <cell r="C585" t="str">
            <v>在职</v>
          </cell>
          <cell r="D585" t="str">
            <v>koyeelong</v>
          </cell>
          <cell r="E585" t="str">
            <v>产品运营中心</v>
          </cell>
          <cell r="F585" t="str">
            <v>客户服务组</v>
          </cell>
          <cell r="G585" t="str">
            <v>基础管家二组</v>
          </cell>
        </row>
        <row r="586">
          <cell r="A586" t="str">
            <v>黄磾</v>
          </cell>
          <cell r="B586" t="str">
            <v>13662260923</v>
          </cell>
          <cell r="C586" t="str">
            <v>在职</v>
          </cell>
          <cell r="D586" t="str">
            <v>danielhuang</v>
          </cell>
          <cell r="E586" t="str">
            <v>生态运营中心</v>
          </cell>
          <cell r="F586" t="str">
            <v>生态行业运营组</v>
          </cell>
          <cell r="G586" t="str">
            <v/>
          </cell>
        </row>
        <row r="587">
          <cell r="A587" t="str">
            <v>邓坤</v>
          </cell>
          <cell r="B587" t="str">
            <v>15623833178</v>
          </cell>
          <cell r="C587" t="str">
            <v>在职</v>
          </cell>
          <cell r="D587" t="str">
            <v>andydeng</v>
          </cell>
          <cell r="E587" t="str">
            <v>电商产品中心</v>
          </cell>
          <cell r="F587" t="str">
            <v>电商产品组</v>
          </cell>
          <cell r="G587" t="str">
            <v/>
          </cell>
        </row>
        <row r="588">
          <cell r="A588" t="str">
            <v>罗伊铭</v>
          </cell>
          <cell r="B588" t="str">
            <v>18380463796</v>
          </cell>
          <cell r="C588" t="str">
            <v>在职</v>
          </cell>
          <cell r="D588" t="str">
            <v>evelynluo</v>
          </cell>
          <cell r="E588" t="str">
            <v>财务中心</v>
          </cell>
          <cell r="F588" t="str">
            <v>财务组</v>
          </cell>
          <cell r="G588" t="str">
            <v/>
          </cell>
        </row>
        <row r="589">
          <cell r="A589" t="str">
            <v>张剑清</v>
          </cell>
          <cell r="B589" t="str">
            <v>13715115544</v>
          </cell>
          <cell r="C589" t="str">
            <v>在职</v>
          </cell>
          <cell r="D589" t="str">
            <v>rolandzhang</v>
          </cell>
          <cell r="E589" t="str">
            <v>学习产品中心</v>
          </cell>
          <cell r="F589" t="str">
            <v>APP业务组</v>
          </cell>
          <cell r="G589" t="str">
            <v/>
          </cell>
        </row>
        <row r="590">
          <cell r="A590" t="str">
            <v>肖烁楠</v>
          </cell>
          <cell r="B590" t="str">
            <v>17806705359</v>
          </cell>
          <cell r="C590" t="str">
            <v>在职</v>
          </cell>
          <cell r="D590" t="str">
            <v>setixiao</v>
          </cell>
          <cell r="E590" t="str">
            <v>电商产品中心</v>
          </cell>
          <cell r="F590" t="str">
            <v>电商后台一组</v>
          </cell>
          <cell r="G590" t="str">
            <v/>
          </cell>
        </row>
        <row r="591">
          <cell r="A591" t="str">
            <v>宋湛杰</v>
          </cell>
          <cell r="B591" t="str">
            <v>19129219148</v>
          </cell>
          <cell r="C591" t="str">
            <v>在职</v>
          </cell>
          <cell r="D591" t="str">
            <v>shinesong</v>
          </cell>
          <cell r="E591" t="str">
            <v>直播平台中心</v>
          </cell>
          <cell r="F591" t="str">
            <v>直播后台开发组</v>
          </cell>
          <cell r="G591" t="str">
            <v/>
          </cell>
        </row>
        <row r="592">
          <cell r="A592" t="str">
            <v>张鹏辉</v>
          </cell>
          <cell r="B592" t="str">
            <v>18851075990</v>
          </cell>
          <cell r="C592" t="str">
            <v>在职</v>
          </cell>
          <cell r="D592" t="str">
            <v>penghuizhang</v>
          </cell>
          <cell r="E592" t="str">
            <v>基础平台中心</v>
          </cell>
          <cell r="F592" t="str">
            <v>基础安全组</v>
          </cell>
          <cell r="G592" t="str">
            <v/>
          </cell>
        </row>
        <row r="593">
          <cell r="A593" t="str">
            <v>管成</v>
          </cell>
          <cell r="B593" t="str">
            <v>19108657199</v>
          </cell>
          <cell r="C593" t="str">
            <v>在职</v>
          </cell>
          <cell r="D593" t="str">
            <v>jackguan</v>
          </cell>
          <cell r="E593" t="str">
            <v>学习产品中心</v>
          </cell>
          <cell r="F593" t="str">
            <v>APP业务组</v>
          </cell>
          <cell r="G593" t="str">
            <v/>
          </cell>
        </row>
        <row r="594">
          <cell r="A594" t="str">
            <v>黎宇栋</v>
          </cell>
          <cell r="B594" t="str">
            <v>15625079884</v>
          </cell>
          <cell r="C594" t="str">
            <v>在职</v>
          </cell>
          <cell r="D594" t="str">
            <v>yudongli</v>
          </cell>
          <cell r="E594" t="str">
            <v>企培产品中心</v>
          </cell>
          <cell r="F594" t="str">
            <v>企培研发组</v>
          </cell>
          <cell r="G594" t="str">
            <v/>
          </cell>
        </row>
        <row r="595">
          <cell r="A595" t="str">
            <v>曾繁茜</v>
          </cell>
          <cell r="B595" t="str">
            <v>15011670236</v>
          </cell>
          <cell r="C595" t="str">
            <v>在职</v>
          </cell>
          <cell r="D595" t="str">
            <v>fancyzeng</v>
          </cell>
          <cell r="E595" t="str">
            <v>营销产品中心</v>
          </cell>
          <cell r="F595" t="str">
            <v>营销产品组</v>
          </cell>
          <cell r="G595" t="str">
            <v/>
          </cell>
        </row>
        <row r="596">
          <cell r="A596" t="str">
            <v>刘峥炫</v>
          </cell>
          <cell r="B596" t="str">
            <v>18002511485</v>
          </cell>
          <cell r="C596" t="str">
            <v>在职</v>
          </cell>
          <cell r="D596" t="str">
            <v>yinaliu</v>
          </cell>
          <cell r="E596" t="str">
            <v>学习产品中心</v>
          </cell>
          <cell r="F596" t="str">
            <v>APP业务组</v>
          </cell>
          <cell r="G596" t="str">
            <v/>
          </cell>
        </row>
        <row r="597">
          <cell r="A597" t="str">
            <v>刘晨</v>
          </cell>
          <cell r="B597" t="str">
            <v>18679612752</v>
          </cell>
          <cell r="C597" t="str">
            <v>在职</v>
          </cell>
          <cell r="D597" t="str">
            <v>ChenLiu</v>
          </cell>
          <cell r="E597" t="str">
            <v>产品运营中心</v>
          </cell>
          <cell r="F597" t="str">
            <v>出海产品组</v>
          </cell>
          <cell r="G597" t="str">
            <v/>
          </cell>
        </row>
        <row r="598">
          <cell r="A598" t="str">
            <v>姜小梦</v>
          </cell>
          <cell r="B598" t="str">
            <v>18270887039</v>
          </cell>
          <cell r="C598" t="str">
            <v>在职</v>
          </cell>
          <cell r="D598" t="str">
            <v>xiaomengjiang</v>
          </cell>
          <cell r="E598" t="str">
            <v>基础平台中心</v>
          </cell>
          <cell r="F598" t="str">
            <v>测试运维组</v>
          </cell>
          <cell r="G598" t="str">
            <v>快消测试组</v>
          </cell>
        </row>
        <row r="599">
          <cell r="A599" t="str">
            <v>李栩姗</v>
          </cell>
          <cell r="B599" t="str">
            <v>18507684870</v>
          </cell>
          <cell r="C599" t="str">
            <v>在职</v>
          </cell>
          <cell r="D599" t="str">
            <v>ivyli</v>
          </cell>
          <cell r="E599" t="str">
            <v>营销产品中心</v>
          </cell>
          <cell r="F599" t="str">
            <v>营销后台组</v>
          </cell>
          <cell r="G599" t="str">
            <v/>
          </cell>
        </row>
        <row r="600">
          <cell r="A600" t="str">
            <v>张俊城</v>
          </cell>
          <cell r="B600" t="str">
            <v>13798497311</v>
          </cell>
          <cell r="C600" t="str">
            <v>在职</v>
          </cell>
          <cell r="D600" t="str">
            <v>georgezhang</v>
          </cell>
          <cell r="E600" t="str">
            <v>营销产品中心</v>
          </cell>
          <cell r="F600" t="str">
            <v>营销前端组</v>
          </cell>
          <cell r="G600" t="str">
            <v/>
          </cell>
        </row>
        <row r="601">
          <cell r="A601" t="str">
            <v>张家乐</v>
          </cell>
          <cell r="B601" t="str">
            <v>13729528639</v>
          </cell>
          <cell r="C601" t="str">
            <v>在职</v>
          </cell>
          <cell r="D601" t="str">
            <v>ferryzhang</v>
          </cell>
          <cell r="E601" t="str">
            <v>直播平台中心</v>
          </cell>
          <cell r="F601" t="str">
            <v>客户端开发组</v>
          </cell>
          <cell r="G601" t="str">
            <v/>
          </cell>
        </row>
        <row r="602">
          <cell r="A602" t="str">
            <v>何智文</v>
          </cell>
          <cell r="B602" t="str">
            <v>13553661702</v>
          </cell>
          <cell r="C602" t="str">
            <v>在职</v>
          </cell>
          <cell r="D602" t="str">
            <v>zhiwenhe</v>
          </cell>
          <cell r="E602" t="str">
            <v>基础平台中心</v>
          </cell>
          <cell r="F602" t="str">
            <v>测试运维组</v>
          </cell>
          <cell r="G602" t="str">
            <v>快消测试组</v>
          </cell>
        </row>
        <row r="603">
          <cell r="A603" t="str">
            <v>吴楚燕</v>
          </cell>
          <cell r="B603" t="str">
            <v>15918994785</v>
          </cell>
          <cell r="C603" t="str">
            <v>在职</v>
          </cell>
          <cell r="D603" t="str">
            <v>baiwu</v>
          </cell>
          <cell r="E603" t="str">
            <v>财务中心</v>
          </cell>
          <cell r="F603" t="str">
            <v>财务组</v>
          </cell>
          <cell r="G603" t="str">
            <v/>
          </cell>
        </row>
        <row r="604">
          <cell r="A604" t="str">
            <v>吴岱柠</v>
          </cell>
          <cell r="B604" t="str">
            <v>19860010351</v>
          </cell>
          <cell r="C604" t="str">
            <v>在职</v>
          </cell>
          <cell r="D604" t="str">
            <v>joelinwu</v>
          </cell>
          <cell r="E604" t="str">
            <v>财务中心</v>
          </cell>
          <cell r="F604" t="str">
            <v>财务组</v>
          </cell>
          <cell r="G604" t="str">
            <v/>
          </cell>
        </row>
        <row r="605">
          <cell r="A605" t="str">
            <v>张立志</v>
          </cell>
          <cell r="B605" t="str">
            <v>13590663457</v>
          </cell>
          <cell r="C605" t="str">
            <v>在职</v>
          </cell>
          <cell r="D605" t="str">
            <v>alexzhang</v>
          </cell>
          <cell r="E605" t="str">
            <v>数智平台中心</v>
          </cell>
          <cell r="F605" t="str">
            <v>数智后台三组</v>
          </cell>
          <cell r="G605" t="str">
            <v/>
          </cell>
        </row>
        <row r="606">
          <cell r="A606" t="str">
            <v>钱秋林</v>
          </cell>
          <cell r="B606" t="str">
            <v>18102337076</v>
          </cell>
          <cell r="C606" t="str">
            <v>在职</v>
          </cell>
          <cell r="D606" t="str">
            <v>qiulinqian</v>
          </cell>
          <cell r="E606" t="str">
            <v>基础平台中心</v>
          </cell>
          <cell r="F606" t="str">
            <v>测试运维组</v>
          </cell>
          <cell r="G606" t="str">
            <v>教培测试组</v>
          </cell>
        </row>
        <row r="607">
          <cell r="A607" t="str">
            <v>张淼</v>
          </cell>
          <cell r="B607" t="str">
            <v>15886495935</v>
          </cell>
          <cell r="C607" t="str">
            <v>在职</v>
          </cell>
          <cell r="D607" t="str">
            <v>rachelzhang</v>
          </cell>
          <cell r="E607" t="str">
            <v>产品运营中心</v>
          </cell>
          <cell r="F607" t="str">
            <v>商家产品组</v>
          </cell>
          <cell r="G607" t="str">
            <v/>
          </cell>
        </row>
        <row r="608">
          <cell r="A608" t="str">
            <v>车嘉宁</v>
          </cell>
          <cell r="B608" t="str">
            <v>16603059482</v>
          </cell>
          <cell r="C608" t="str">
            <v>在职</v>
          </cell>
          <cell r="D608" t="str">
            <v>gallifreyche</v>
          </cell>
          <cell r="E608" t="str">
            <v>直播产品中心</v>
          </cell>
          <cell r="F608" t="str">
            <v>后台二组</v>
          </cell>
          <cell r="G608" t="str">
            <v/>
          </cell>
        </row>
        <row r="609">
          <cell r="A609" t="str">
            <v>黎文涛</v>
          </cell>
          <cell r="B609" t="str">
            <v>18307650159</v>
          </cell>
          <cell r="C609" t="str">
            <v>在职</v>
          </cell>
          <cell r="D609" t="str">
            <v>roundli</v>
          </cell>
          <cell r="E609" t="str">
            <v>学习产品中心</v>
          </cell>
          <cell r="F609" t="str">
            <v>APP业务组</v>
          </cell>
          <cell r="G609" t="str">
            <v/>
          </cell>
        </row>
        <row r="610">
          <cell r="A610" t="str">
            <v>张经纬</v>
          </cell>
          <cell r="B610" t="str">
            <v>16602068706</v>
          </cell>
          <cell r="C610" t="str">
            <v>在职</v>
          </cell>
          <cell r="D610" t="str">
            <v>jingwei</v>
          </cell>
          <cell r="E610" t="str">
            <v>学习产品中心</v>
          </cell>
          <cell r="F610" t="str">
            <v>学习产品组</v>
          </cell>
          <cell r="G610" t="str">
            <v/>
          </cell>
        </row>
        <row r="611">
          <cell r="A611" t="str">
            <v>贾孟丽</v>
          </cell>
          <cell r="B611" t="str">
            <v>13777352142</v>
          </cell>
          <cell r="C611" t="str">
            <v>在职</v>
          </cell>
          <cell r="D611" t="str">
            <v>mollyjia</v>
          </cell>
          <cell r="E611" t="str">
            <v>财务中心</v>
          </cell>
          <cell r="F611" t="str">
            <v>财务组</v>
          </cell>
          <cell r="G611" t="str">
            <v/>
          </cell>
        </row>
        <row r="612">
          <cell r="A612" t="str">
            <v>蔡汶成</v>
          </cell>
          <cell r="B612" t="str">
            <v>18802572648</v>
          </cell>
          <cell r="C612" t="str">
            <v>在职</v>
          </cell>
          <cell r="D612" t="str">
            <v>pottercai</v>
          </cell>
          <cell r="E612" t="str">
            <v>基础平台中心</v>
          </cell>
          <cell r="F612" t="str">
            <v>测试运维组</v>
          </cell>
          <cell r="G612" t="str">
            <v>基础运维组</v>
          </cell>
        </row>
        <row r="613">
          <cell r="A613" t="str">
            <v>洪晓彬</v>
          </cell>
          <cell r="B613" t="str">
            <v>15875195553</v>
          </cell>
          <cell r="C613" t="str">
            <v>在职</v>
          </cell>
          <cell r="D613" t="str">
            <v>xiaobinhong</v>
          </cell>
          <cell r="E613" t="str">
            <v>数智平台中心</v>
          </cell>
          <cell r="F613" t="str">
            <v>数智后台一组</v>
          </cell>
          <cell r="G613" t="str">
            <v/>
          </cell>
        </row>
        <row r="614">
          <cell r="A614" t="str">
            <v>庄嘉华</v>
          </cell>
          <cell r="B614" t="str">
            <v>13286409031</v>
          </cell>
          <cell r="C614" t="str">
            <v>在职</v>
          </cell>
          <cell r="D614" t="str">
            <v>sunnyzhuang</v>
          </cell>
          <cell r="E614" t="str">
            <v>基础平台中心</v>
          </cell>
          <cell r="F614" t="str">
            <v>效能平台组</v>
          </cell>
          <cell r="G614" t="str">
            <v/>
          </cell>
        </row>
        <row r="615">
          <cell r="A615" t="str">
            <v>丁梦迎</v>
          </cell>
          <cell r="B615" t="str">
            <v>15988138820</v>
          </cell>
          <cell r="C615" t="str">
            <v>在职</v>
          </cell>
          <cell r="D615" t="str">
            <v>juneding</v>
          </cell>
          <cell r="E615" t="str">
            <v>产品运营中心</v>
          </cell>
          <cell r="F615" t="str">
            <v>UI组</v>
          </cell>
          <cell r="G615" t="str">
            <v/>
          </cell>
        </row>
        <row r="616">
          <cell r="A616" t="str">
            <v>庞思思</v>
          </cell>
          <cell r="B616" t="str">
            <v>13878909929</v>
          </cell>
          <cell r="C616" t="str">
            <v>在职</v>
          </cell>
          <cell r="D616" t="str">
            <v>sisipang</v>
          </cell>
          <cell r="E616" t="str">
            <v>数智平台中心</v>
          </cell>
          <cell r="F616" t="str">
            <v>数智前端组</v>
          </cell>
          <cell r="G616" t="str">
            <v/>
          </cell>
        </row>
        <row r="617">
          <cell r="A617" t="str">
            <v>李行健</v>
          </cell>
          <cell r="B617" t="str">
            <v>17784458413</v>
          </cell>
          <cell r="C617" t="str">
            <v>在职</v>
          </cell>
          <cell r="D617" t="str">
            <v>xingjianli</v>
          </cell>
          <cell r="E617" t="str">
            <v>数智平台中心</v>
          </cell>
          <cell r="F617" t="str">
            <v>数智后台一组</v>
          </cell>
          <cell r="G617" t="str">
            <v/>
          </cell>
        </row>
        <row r="618">
          <cell r="A618" t="str">
            <v>张雯</v>
          </cell>
          <cell r="B618" t="str">
            <v>18981918908</v>
          </cell>
          <cell r="C618" t="str">
            <v>在职</v>
          </cell>
          <cell r="D618" t="str">
            <v>maggiezhang</v>
          </cell>
          <cell r="E618" t="str">
            <v>电商产品中心</v>
          </cell>
          <cell r="F618" t="str">
            <v>电商产品组</v>
          </cell>
          <cell r="G618" t="str">
            <v/>
          </cell>
        </row>
        <row r="619">
          <cell r="A619" t="str">
            <v>梁锨琪</v>
          </cell>
          <cell r="B619" t="str">
            <v>18312451187</v>
          </cell>
          <cell r="C619" t="str">
            <v>在职</v>
          </cell>
          <cell r="D619" t="str">
            <v>sancyliang</v>
          </cell>
          <cell r="E619" t="str">
            <v>电商产品中心</v>
          </cell>
          <cell r="F619" t="str">
            <v>电商产品组</v>
          </cell>
          <cell r="G619" t="str">
            <v/>
          </cell>
        </row>
        <row r="620">
          <cell r="A620" t="str">
            <v>陈焕春</v>
          </cell>
          <cell r="B620" t="str">
            <v>18802222566</v>
          </cell>
          <cell r="C620" t="str">
            <v>在职</v>
          </cell>
          <cell r="D620" t="str">
            <v>rickchen</v>
          </cell>
          <cell r="E620" t="str">
            <v>战略投资中心</v>
          </cell>
          <cell r="F620" t="str">
            <v>投资组</v>
          </cell>
          <cell r="G620" t="str">
            <v/>
          </cell>
        </row>
        <row r="621">
          <cell r="A621" t="str">
            <v>曹雪娇</v>
          </cell>
          <cell r="B621" t="str">
            <v>15133346272</v>
          </cell>
          <cell r="C621" t="str">
            <v>在职</v>
          </cell>
          <cell r="D621" t="str">
            <v>josiecao</v>
          </cell>
          <cell r="E621" t="str">
            <v>数智平台中心</v>
          </cell>
          <cell r="F621" t="str">
            <v>数智产品组</v>
          </cell>
          <cell r="G621" t="str">
            <v/>
          </cell>
        </row>
        <row r="622">
          <cell r="A622" t="str">
            <v>潘冠良</v>
          </cell>
          <cell r="B622" t="str">
            <v>13257648782</v>
          </cell>
          <cell r="C622" t="str">
            <v>在职</v>
          </cell>
          <cell r="D622" t="str">
            <v>anonymouspan</v>
          </cell>
          <cell r="E622" t="str">
            <v>数智平台中心</v>
          </cell>
          <cell r="F622" t="str">
            <v>数智后台三组</v>
          </cell>
          <cell r="G622" t="str">
            <v/>
          </cell>
        </row>
        <row r="623">
          <cell r="A623" t="str">
            <v>林安琪</v>
          </cell>
          <cell r="B623" t="str">
            <v>13501516937</v>
          </cell>
          <cell r="C623" t="str">
            <v>在职</v>
          </cell>
          <cell r="D623" t="str">
            <v>angelalin</v>
          </cell>
          <cell r="E623" t="str">
            <v>综合职能中心</v>
          </cell>
          <cell r="F623" t="str">
            <v>CEO创新小组</v>
          </cell>
          <cell r="G623" t="str">
            <v>对话标杆组</v>
          </cell>
        </row>
        <row r="624">
          <cell r="A624" t="str">
            <v>张梓豪</v>
          </cell>
          <cell r="B624" t="str">
            <v>18948388008</v>
          </cell>
          <cell r="C624" t="str">
            <v>在职</v>
          </cell>
          <cell r="D624" t="str">
            <v>wardellzhang</v>
          </cell>
          <cell r="E624" t="str">
            <v>基础平台中心</v>
          </cell>
          <cell r="F624" t="str">
            <v>前端开发组</v>
          </cell>
          <cell r="G624" t="str">
            <v/>
          </cell>
        </row>
        <row r="625">
          <cell r="A625" t="str">
            <v>常云骁</v>
          </cell>
          <cell r="B625" t="str">
            <v>18570402188</v>
          </cell>
          <cell r="C625" t="str">
            <v>在职</v>
          </cell>
          <cell r="D625" t="str">
            <v>cyruschang</v>
          </cell>
          <cell r="E625" t="str">
            <v>学习产品中心</v>
          </cell>
          <cell r="F625" t="str">
            <v>助学业务组</v>
          </cell>
          <cell r="G625" t="str">
            <v/>
          </cell>
        </row>
        <row r="626">
          <cell r="A626" t="str">
            <v>高晓丹</v>
          </cell>
          <cell r="B626" t="str">
            <v>13510700819</v>
          </cell>
          <cell r="C626" t="str">
            <v>在职</v>
          </cell>
          <cell r="D626" t="str">
            <v>yolandagao</v>
          </cell>
          <cell r="E626" t="str">
            <v>综合职能中心</v>
          </cell>
          <cell r="F626" t="str">
            <v>行政组</v>
          </cell>
          <cell r="G626" t="str">
            <v/>
          </cell>
        </row>
        <row r="627">
          <cell r="A627" t="str">
            <v>陈炳任</v>
          </cell>
          <cell r="B627" t="str">
            <v>13671470647</v>
          </cell>
          <cell r="C627" t="str">
            <v>在职</v>
          </cell>
          <cell r="D627" t="str">
            <v>jhinchen</v>
          </cell>
          <cell r="E627" t="str">
            <v>产品运营中心</v>
          </cell>
          <cell r="F627" t="str">
            <v>UI组</v>
          </cell>
          <cell r="G627" t="str">
            <v/>
          </cell>
        </row>
        <row r="628">
          <cell r="A628" t="str">
            <v>郑瑶</v>
          </cell>
          <cell r="B628" t="str">
            <v>18525333976</v>
          </cell>
          <cell r="C628" t="str">
            <v>在职</v>
          </cell>
          <cell r="D628" t="str">
            <v>iriszheng</v>
          </cell>
          <cell r="E628" t="str">
            <v>数智平台中心</v>
          </cell>
          <cell r="F628" t="str">
            <v>数智产品组</v>
          </cell>
          <cell r="G628" t="str">
            <v/>
          </cell>
        </row>
        <row r="629">
          <cell r="A629" t="str">
            <v>朱莹</v>
          </cell>
          <cell r="B629" t="str">
            <v>15005026242</v>
          </cell>
          <cell r="C629" t="str">
            <v>在职</v>
          </cell>
          <cell r="D629" t="str">
            <v>jackyzhu</v>
          </cell>
          <cell r="E629" t="str">
            <v>学习产品中心</v>
          </cell>
          <cell r="F629" t="str">
            <v>课程业务组</v>
          </cell>
          <cell r="G629" t="str">
            <v/>
          </cell>
        </row>
        <row r="630">
          <cell r="A630" t="str">
            <v>韩力恒</v>
          </cell>
          <cell r="B630" t="str">
            <v>15800101250</v>
          </cell>
          <cell r="C630" t="str">
            <v>在职</v>
          </cell>
          <cell r="D630" t="str">
            <v>alexhan</v>
          </cell>
          <cell r="E630" t="str">
            <v>基础平台中心</v>
          </cell>
          <cell r="F630" t="str">
            <v>测试运维组</v>
          </cell>
          <cell r="G630" t="str">
            <v>基础运维组</v>
          </cell>
        </row>
        <row r="631">
          <cell r="A631" t="str">
            <v>胡烨琼</v>
          </cell>
          <cell r="B631" t="str">
            <v>15625876919</v>
          </cell>
          <cell r="C631" t="str">
            <v>在职</v>
          </cell>
          <cell r="D631" t="str">
            <v>junehu</v>
          </cell>
          <cell r="E631" t="str">
            <v>产品运营中心</v>
          </cell>
          <cell r="F631" t="str">
            <v>基础产品组</v>
          </cell>
          <cell r="G631" t="str">
            <v/>
          </cell>
        </row>
        <row r="632">
          <cell r="A632" t="str">
            <v>巫晓佳</v>
          </cell>
          <cell r="B632" t="str">
            <v>13421144507</v>
          </cell>
          <cell r="C632" t="str">
            <v>在职</v>
          </cell>
          <cell r="D632" t="str">
            <v>awuwu</v>
          </cell>
          <cell r="E632" t="str">
            <v>直播产品中心</v>
          </cell>
          <cell r="F632" t="str">
            <v>前端组</v>
          </cell>
          <cell r="G632" t="str">
            <v/>
          </cell>
        </row>
        <row r="633">
          <cell r="A633" t="str">
            <v>彭先晓</v>
          </cell>
          <cell r="B633" t="str">
            <v>13553480577</v>
          </cell>
          <cell r="C633" t="str">
            <v>在职</v>
          </cell>
          <cell r="D633" t="str">
            <v>luciferpeng</v>
          </cell>
          <cell r="E633" t="str">
            <v>基础平台中心</v>
          </cell>
          <cell r="F633" t="str">
            <v>出海研发组</v>
          </cell>
          <cell r="G633" t="str">
            <v/>
          </cell>
        </row>
        <row r="634">
          <cell r="A634" t="str">
            <v>王宗杰</v>
          </cell>
          <cell r="B634" t="str">
            <v>17610789128</v>
          </cell>
          <cell r="C634" t="str">
            <v>在职</v>
          </cell>
          <cell r="D634" t="str">
            <v>zongjiewang</v>
          </cell>
          <cell r="E634" t="str">
            <v>数智平台中心</v>
          </cell>
          <cell r="F634" t="str">
            <v>数智后台二组</v>
          </cell>
          <cell r="G634" t="str">
            <v/>
          </cell>
        </row>
        <row r="635">
          <cell r="A635" t="str">
            <v>董云飞</v>
          </cell>
          <cell r="B635" t="str">
            <v>13268166956</v>
          </cell>
          <cell r="C635" t="str">
            <v>在职</v>
          </cell>
          <cell r="D635" t="str">
            <v>patrickdong</v>
          </cell>
          <cell r="E635" t="str">
            <v>中心负责人</v>
          </cell>
          <cell r="F635" t="str">
            <v/>
          </cell>
          <cell r="G635" t="str">
            <v/>
          </cell>
        </row>
        <row r="636">
          <cell r="A636" t="str">
            <v>何景行</v>
          </cell>
          <cell r="B636" t="str">
            <v>17092504710</v>
          </cell>
          <cell r="C636" t="str">
            <v>在职</v>
          </cell>
          <cell r="D636" t="str">
            <v>cashe</v>
          </cell>
          <cell r="E636" t="str">
            <v>基础平台中心</v>
          </cell>
          <cell r="F636" t="str">
            <v>基础平台组</v>
          </cell>
          <cell r="G636" t="str">
            <v/>
          </cell>
        </row>
        <row r="637">
          <cell r="A637" t="str">
            <v>陈祉伊</v>
          </cell>
          <cell r="B637" t="str">
            <v>13204262827</v>
          </cell>
          <cell r="C637" t="str">
            <v>在职</v>
          </cell>
          <cell r="D637" t="str">
            <v>evechen</v>
          </cell>
          <cell r="E637" t="str">
            <v>产品运营中心</v>
          </cell>
          <cell r="F637" t="str">
            <v>UI组</v>
          </cell>
          <cell r="G637" t="str">
            <v/>
          </cell>
        </row>
        <row r="638">
          <cell r="A638" t="str">
            <v>黄文静</v>
          </cell>
          <cell r="B638" t="str">
            <v>19927451762</v>
          </cell>
          <cell r="C638" t="str">
            <v>在职</v>
          </cell>
          <cell r="D638" t="str">
            <v>chloehuang</v>
          </cell>
          <cell r="E638" t="str">
            <v>数智平台中心</v>
          </cell>
          <cell r="F638" t="str">
            <v>数智后台二组</v>
          </cell>
          <cell r="G638" t="str">
            <v/>
          </cell>
        </row>
        <row r="639">
          <cell r="A639" t="str">
            <v>王飞亚</v>
          </cell>
          <cell r="B639" t="str">
            <v>18637258530</v>
          </cell>
          <cell r="C639" t="str">
            <v>在职</v>
          </cell>
          <cell r="D639" t="str">
            <v>felixwang</v>
          </cell>
          <cell r="E639" t="str">
            <v>基础平台中心</v>
          </cell>
          <cell r="F639" t="str">
            <v>测试运维组</v>
          </cell>
          <cell r="G639" t="str">
            <v>快消测试组</v>
          </cell>
        </row>
        <row r="640">
          <cell r="A640" t="str">
            <v>王正阳</v>
          </cell>
          <cell r="B640" t="str">
            <v>18717132328</v>
          </cell>
          <cell r="C640" t="str">
            <v>在职</v>
          </cell>
          <cell r="D640" t="str">
            <v>zhengyangwang</v>
          </cell>
          <cell r="E640" t="str">
            <v>基础平台中心</v>
          </cell>
          <cell r="F640" t="str">
            <v>测试运维组</v>
          </cell>
          <cell r="G640" t="str">
            <v>教培测试组</v>
          </cell>
        </row>
        <row r="641">
          <cell r="A641" t="str">
            <v>裴一多</v>
          </cell>
          <cell r="B641" t="str">
            <v>18330608578</v>
          </cell>
          <cell r="C641" t="str">
            <v>在职</v>
          </cell>
          <cell r="D641" t="str">
            <v>yiduopei</v>
          </cell>
          <cell r="E641" t="str">
            <v>基础平台中心</v>
          </cell>
          <cell r="F641" t="str">
            <v>测试运维组</v>
          </cell>
          <cell r="G641" t="str">
            <v>基础运维组</v>
          </cell>
        </row>
        <row r="642">
          <cell r="A642" t="str">
            <v>陈宜宁</v>
          </cell>
          <cell r="B642" t="str">
            <v>19120538409</v>
          </cell>
          <cell r="C642" t="str">
            <v>在职</v>
          </cell>
          <cell r="D642" t="str">
            <v>Ilynchen</v>
          </cell>
          <cell r="E642" t="str">
            <v>品牌运营中心</v>
          </cell>
          <cell r="F642" t="str">
            <v>训练营运营组</v>
          </cell>
          <cell r="G642" t="str">
            <v>售前训练营组</v>
          </cell>
        </row>
        <row r="643">
          <cell r="A643" t="str">
            <v>汪子然</v>
          </cell>
          <cell r="B643" t="str">
            <v>18182814585</v>
          </cell>
          <cell r="C643" t="str">
            <v>在职</v>
          </cell>
          <cell r="D643" t="str">
            <v>zilonwang</v>
          </cell>
          <cell r="E643" t="str">
            <v>综合职能中心</v>
          </cell>
          <cell r="F643" t="str">
            <v>CEO创新小组</v>
          </cell>
          <cell r="G643" t="str">
            <v>分销市场组</v>
          </cell>
        </row>
        <row r="644">
          <cell r="A644" t="str">
            <v>卢浚阳</v>
          </cell>
          <cell r="B644" t="str">
            <v>13798949709</v>
          </cell>
          <cell r="C644" t="str">
            <v>在职</v>
          </cell>
          <cell r="D644" t="str">
            <v>junyanglu</v>
          </cell>
          <cell r="E644" t="str">
            <v>学习产品中心</v>
          </cell>
          <cell r="F644" t="str">
            <v>课程业务组</v>
          </cell>
          <cell r="G644" t="str">
            <v/>
          </cell>
        </row>
        <row r="645">
          <cell r="A645" t="str">
            <v>郑仕杰</v>
          </cell>
          <cell r="B645" t="str">
            <v>17366758632</v>
          </cell>
          <cell r="C645" t="str">
            <v>在职</v>
          </cell>
          <cell r="D645" t="str">
            <v>rszheng</v>
          </cell>
          <cell r="E645" t="str">
            <v>电商产品中心</v>
          </cell>
          <cell r="F645" t="str">
            <v>电商后台一组</v>
          </cell>
          <cell r="G645" t="str">
            <v/>
          </cell>
        </row>
        <row r="646">
          <cell r="A646" t="str">
            <v>林晓江</v>
          </cell>
          <cell r="B646" t="str">
            <v>18126934563</v>
          </cell>
          <cell r="C646" t="str">
            <v>在职</v>
          </cell>
          <cell r="D646" t="str">
            <v>jannanlin</v>
          </cell>
          <cell r="E646" t="str">
            <v>电商产品中心</v>
          </cell>
          <cell r="F646" t="str">
            <v>电商后台二组</v>
          </cell>
          <cell r="G646" t="str">
            <v/>
          </cell>
        </row>
        <row r="647">
          <cell r="A647" t="str">
            <v>黄胜锋</v>
          </cell>
          <cell r="B647" t="str">
            <v>16620917080</v>
          </cell>
          <cell r="C647" t="str">
            <v>在职</v>
          </cell>
          <cell r="D647" t="str">
            <v>morsehuang</v>
          </cell>
          <cell r="E647" t="str">
            <v>电商产品中心</v>
          </cell>
          <cell r="F647" t="str">
            <v>电商后台一组</v>
          </cell>
          <cell r="G647" t="str">
            <v/>
          </cell>
        </row>
        <row r="648">
          <cell r="A648" t="str">
            <v>刘浩</v>
          </cell>
          <cell r="B648" t="str">
            <v>18694076387</v>
          </cell>
          <cell r="C648" t="str">
            <v>在职</v>
          </cell>
          <cell r="D648" t="str">
            <v>haoliu</v>
          </cell>
          <cell r="E648" t="str">
            <v>营销产品中心</v>
          </cell>
          <cell r="F648" t="str">
            <v>营销后台组</v>
          </cell>
          <cell r="G648" t="str">
            <v/>
          </cell>
        </row>
        <row r="649">
          <cell r="A649" t="str">
            <v>朱镇越</v>
          </cell>
          <cell r="B649" t="str">
            <v>18318268722</v>
          </cell>
          <cell r="C649" t="str">
            <v>在职</v>
          </cell>
          <cell r="D649" t="str">
            <v>zhenyuezhu</v>
          </cell>
          <cell r="E649" t="str">
            <v>学习产品中心</v>
          </cell>
          <cell r="F649" t="str">
            <v>助学业务组</v>
          </cell>
          <cell r="G649" t="str">
            <v/>
          </cell>
        </row>
        <row r="650">
          <cell r="A650" t="str">
            <v>罗俊杰</v>
          </cell>
          <cell r="B650" t="str">
            <v>18819773658</v>
          </cell>
          <cell r="C650" t="str">
            <v>在职</v>
          </cell>
          <cell r="D650" t="str">
            <v>pegssluo</v>
          </cell>
          <cell r="E650" t="str">
            <v>电商产品中心</v>
          </cell>
          <cell r="F650" t="str">
            <v>电商后台二组</v>
          </cell>
          <cell r="G650" t="str">
            <v/>
          </cell>
        </row>
        <row r="651">
          <cell r="A651" t="str">
            <v>常迎新</v>
          </cell>
          <cell r="B651" t="str">
            <v>17302220662</v>
          </cell>
          <cell r="C651" t="str">
            <v>在职</v>
          </cell>
          <cell r="D651" t="str">
            <v>sinichang</v>
          </cell>
          <cell r="E651" t="str">
            <v>直播产品中心</v>
          </cell>
          <cell r="F651" t="str">
            <v>产品组</v>
          </cell>
          <cell r="G651" t="str">
            <v/>
          </cell>
        </row>
        <row r="652">
          <cell r="A652" t="str">
            <v>杜涛</v>
          </cell>
          <cell r="B652" t="str">
            <v>15194437034</v>
          </cell>
          <cell r="C652" t="str">
            <v>在职</v>
          </cell>
          <cell r="D652" t="str">
            <v>nathandu</v>
          </cell>
          <cell r="E652" t="str">
            <v>直播产品中心</v>
          </cell>
          <cell r="F652" t="str">
            <v>前端组</v>
          </cell>
          <cell r="G652" t="str">
            <v/>
          </cell>
        </row>
        <row r="653">
          <cell r="A653" t="str">
            <v>何品良</v>
          </cell>
          <cell r="B653" t="str">
            <v>18569395303</v>
          </cell>
          <cell r="C653" t="str">
            <v>在职</v>
          </cell>
          <cell r="D653" t="str">
            <v>hopehe</v>
          </cell>
          <cell r="E653" t="str">
            <v>综合职能中心</v>
          </cell>
          <cell r="F653" t="str">
            <v>人力组</v>
          </cell>
          <cell r="G653" t="str">
            <v>招聘BP组</v>
          </cell>
        </row>
        <row r="654">
          <cell r="A654" t="str">
            <v>刘晨</v>
          </cell>
          <cell r="B654" t="str">
            <v>13480102193</v>
          </cell>
          <cell r="C654" t="str">
            <v>在职</v>
          </cell>
          <cell r="D654" t="str">
            <v>chenliu</v>
          </cell>
          <cell r="E654" t="str">
            <v>综合职能中心</v>
          </cell>
          <cell r="F654" t="str">
            <v/>
          </cell>
          <cell r="G654" t="str">
            <v/>
          </cell>
        </row>
        <row r="655">
          <cell r="A655" t="str">
            <v>梁家铭</v>
          </cell>
          <cell r="B655" t="str">
            <v>18688974126</v>
          </cell>
          <cell r="C655" t="str">
            <v>在职</v>
          </cell>
          <cell r="D655" t="str">
            <v>benjaminliang</v>
          </cell>
          <cell r="E655" t="str">
            <v>电商产品中心</v>
          </cell>
          <cell r="F655" t="str">
            <v>电商后台一组</v>
          </cell>
          <cell r="G655" t="str">
            <v/>
          </cell>
        </row>
        <row r="656">
          <cell r="A656" t="str">
            <v>孙悦</v>
          </cell>
          <cell r="B656" t="str">
            <v>17277731062</v>
          </cell>
          <cell r="C656" t="str">
            <v>在职</v>
          </cell>
          <cell r="D656" t="str">
            <v>koalasun</v>
          </cell>
          <cell r="E656" t="str">
            <v>直播产品中心</v>
          </cell>
          <cell r="F656" t="str">
            <v>产品组</v>
          </cell>
          <cell r="G656" t="str">
            <v/>
          </cell>
        </row>
        <row r="657">
          <cell r="A657" t="str">
            <v>周俊凯</v>
          </cell>
          <cell r="B657" t="str">
            <v>18237113899</v>
          </cell>
          <cell r="C657" t="str">
            <v>在职</v>
          </cell>
          <cell r="D657" t="str">
            <v>junkaizhou</v>
          </cell>
          <cell r="E657" t="str">
            <v>学习产品中心</v>
          </cell>
          <cell r="F657" t="str">
            <v>APP业务组</v>
          </cell>
          <cell r="G657" t="str">
            <v/>
          </cell>
        </row>
        <row r="658">
          <cell r="A658" t="str">
            <v>叶旭晖</v>
          </cell>
          <cell r="B658" t="str">
            <v>17688846957</v>
          </cell>
          <cell r="C658" t="str">
            <v>在职</v>
          </cell>
          <cell r="D658" t="str">
            <v>xuhuiye</v>
          </cell>
          <cell r="E658" t="str">
            <v>基础平台中心</v>
          </cell>
          <cell r="F658" t="str">
            <v>账号平台组</v>
          </cell>
          <cell r="G658" t="str">
            <v/>
          </cell>
        </row>
        <row r="659">
          <cell r="A659" t="str">
            <v>陈灿华</v>
          </cell>
          <cell r="B659" t="str">
            <v>15816853554</v>
          </cell>
          <cell r="C659" t="str">
            <v>在职</v>
          </cell>
          <cell r="D659" t="str">
            <v>canhuachen</v>
          </cell>
          <cell r="E659" t="str">
            <v>电商产品中心</v>
          </cell>
          <cell r="F659" t="str">
            <v>电商后台二组</v>
          </cell>
          <cell r="G659" t="str">
            <v/>
          </cell>
        </row>
        <row r="660">
          <cell r="A660" t="str">
            <v>冯涛</v>
          </cell>
          <cell r="B660" t="str">
            <v>15722165543</v>
          </cell>
          <cell r="C660" t="str">
            <v>在职</v>
          </cell>
          <cell r="D660" t="str">
            <v>yinkaifeng</v>
          </cell>
          <cell r="E660" t="str">
            <v>基础平台中心</v>
          </cell>
          <cell r="F660" t="str">
            <v>基础平台组</v>
          </cell>
          <cell r="G660" t="str">
            <v/>
          </cell>
        </row>
        <row r="661">
          <cell r="A661" t="str">
            <v>李岢澹</v>
          </cell>
          <cell r="B661" t="str">
            <v>18670809631</v>
          </cell>
          <cell r="C661" t="str">
            <v>在职</v>
          </cell>
          <cell r="D661" t="str">
            <v>cocoli</v>
          </cell>
          <cell r="E661" t="str">
            <v>产品运营中心</v>
          </cell>
          <cell r="F661" t="str">
            <v>UI组</v>
          </cell>
          <cell r="G661" t="str">
            <v/>
          </cell>
        </row>
        <row r="662">
          <cell r="A662" t="str">
            <v>陈梓苑</v>
          </cell>
          <cell r="B662" t="str">
            <v>13229465615</v>
          </cell>
          <cell r="C662" t="str">
            <v>在职</v>
          </cell>
          <cell r="D662" t="str">
            <v>ashleychen</v>
          </cell>
          <cell r="E662" t="str">
            <v>运营支持中心</v>
          </cell>
          <cell r="F662" t="str">
            <v>法务组</v>
          </cell>
          <cell r="G662" t="str">
            <v/>
          </cell>
        </row>
        <row r="663">
          <cell r="A663" t="str">
            <v>费孝坤</v>
          </cell>
          <cell r="B663" t="str">
            <v>19520553503</v>
          </cell>
          <cell r="C663" t="str">
            <v>在职</v>
          </cell>
          <cell r="D663" t="str">
            <v>feefei</v>
          </cell>
          <cell r="E663" t="str">
            <v>生态运营中心</v>
          </cell>
          <cell r="F663" t="str">
            <v>生态行业运营组</v>
          </cell>
          <cell r="G663" t="str">
            <v/>
          </cell>
        </row>
        <row r="664">
          <cell r="A664" t="str">
            <v>刘俊锋</v>
          </cell>
          <cell r="B664" t="str">
            <v>13377701370</v>
          </cell>
          <cell r="C664" t="str">
            <v>在职</v>
          </cell>
          <cell r="D664" t="str">
            <v>juneliu</v>
          </cell>
          <cell r="E664" t="str">
            <v>企培产品中心</v>
          </cell>
          <cell r="F664" t="str">
            <v>企培研发组</v>
          </cell>
          <cell r="G664" t="str">
            <v/>
          </cell>
        </row>
        <row r="665">
          <cell r="A665" t="str">
            <v>钟荣龙</v>
          </cell>
          <cell r="B665" t="str">
            <v>19526688462</v>
          </cell>
          <cell r="C665" t="str">
            <v>在职</v>
          </cell>
          <cell r="D665" t="str">
            <v>bobzhong</v>
          </cell>
          <cell r="E665" t="str">
            <v>基础平台中心</v>
          </cell>
          <cell r="F665" t="str">
            <v>素材中心组</v>
          </cell>
          <cell r="G665" t="str">
            <v/>
          </cell>
        </row>
        <row r="666">
          <cell r="A666" t="str">
            <v>刘新一</v>
          </cell>
          <cell r="B666" t="str">
            <v>18924806249</v>
          </cell>
          <cell r="C666" t="str">
            <v>在职</v>
          </cell>
          <cell r="D666" t="str">
            <v>leoliu</v>
          </cell>
          <cell r="E666" t="str">
            <v>营销产品中心</v>
          </cell>
          <cell r="F666" t="str">
            <v>营销前端组</v>
          </cell>
          <cell r="G666" t="str">
            <v/>
          </cell>
        </row>
        <row r="667">
          <cell r="A667" t="str">
            <v>廖文銮</v>
          </cell>
          <cell r="B667" t="str">
            <v>18320253423</v>
          </cell>
          <cell r="C667" t="str">
            <v>在职</v>
          </cell>
          <cell r="D667" t="str">
            <v>wenluanliao</v>
          </cell>
          <cell r="E667" t="str">
            <v>直播产品中心</v>
          </cell>
          <cell r="F667" t="str">
            <v>前端组</v>
          </cell>
          <cell r="G667" t="str">
            <v/>
          </cell>
        </row>
        <row r="668">
          <cell r="A668" t="str">
            <v>陈思婷</v>
          </cell>
          <cell r="B668" t="str">
            <v>13724205746</v>
          </cell>
          <cell r="C668" t="str">
            <v>在职</v>
          </cell>
          <cell r="D668" t="str">
            <v>moonychen</v>
          </cell>
          <cell r="E668" t="str">
            <v>直播产品中心</v>
          </cell>
          <cell r="F668" t="str">
            <v>前端组</v>
          </cell>
          <cell r="G668" t="str">
            <v/>
          </cell>
        </row>
        <row r="669">
          <cell r="A669" t="str">
            <v>王焕武</v>
          </cell>
          <cell r="B669" t="str">
            <v>15815133768</v>
          </cell>
          <cell r="C669" t="str">
            <v>在职</v>
          </cell>
          <cell r="D669" t="str">
            <v>wookiewang</v>
          </cell>
          <cell r="E669" t="str">
            <v>企培产品中心</v>
          </cell>
          <cell r="F669" t="str">
            <v>企培研发组</v>
          </cell>
          <cell r="G669" t="str">
            <v/>
          </cell>
        </row>
        <row r="670">
          <cell r="A670" t="str">
            <v>李卓良</v>
          </cell>
          <cell r="B670" t="str">
            <v>15779195328</v>
          </cell>
          <cell r="C670" t="str">
            <v>在职</v>
          </cell>
          <cell r="D670" t="str">
            <v>zhuoliangli</v>
          </cell>
          <cell r="E670" t="str">
            <v>基础平台中心</v>
          </cell>
          <cell r="F670" t="str">
            <v>出海研发组</v>
          </cell>
          <cell r="G670" t="str">
            <v/>
          </cell>
        </row>
        <row r="671">
          <cell r="A671" t="str">
            <v>代金宇</v>
          </cell>
          <cell r="B671" t="str">
            <v>13131227873</v>
          </cell>
          <cell r="C671" t="str">
            <v>在职</v>
          </cell>
          <cell r="D671" t="str">
            <v>dbinggodai</v>
          </cell>
          <cell r="E671" t="str">
            <v>电商产品中心</v>
          </cell>
          <cell r="F671" t="str">
            <v>电商后台一组</v>
          </cell>
          <cell r="G671" t="str">
            <v/>
          </cell>
        </row>
        <row r="672">
          <cell r="A672" t="str">
            <v>周科序</v>
          </cell>
          <cell r="B672" t="str">
            <v>19886094234</v>
          </cell>
          <cell r="C672" t="str">
            <v>在职</v>
          </cell>
          <cell r="D672" t="str">
            <v>clannadzhou</v>
          </cell>
          <cell r="E672" t="str">
            <v>基础平台中心</v>
          </cell>
          <cell r="F672" t="str">
            <v>前端开发组</v>
          </cell>
          <cell r="G672" t="str">
            <v/>
          </cell>
        </row>
        <row r="673">
          <cell r="A673" t="str">
            <v>何锦奇</v>
          </cell>
          <cell r="B673" t="str">
            <v>18399217709</v>
          </cell>
          <cell r="C673" t="str">
            <v>在职</v>
          </cell>
          <cell r="D673" t="str">
            <v>onismhe</v>
          </cell>
          <cell r="E673" t="str">
            <v>基础平台中心</v>
          </cell>
          <cell r="F673" t="str">
            <v>效能平台组</v>
          </cell>
          <cell r="G673" t="str">
            <v/>
          </cell>
        </row>
        <row r="674">
          <cell r="A674" t="str">
            <v>贾庆云</v>
          </cell>
          <cell r="B674" t="str">
            <v>15217028335</v>
          </cell>
          <cell r="C674" t="str">
            <v>在职</v>
          </cell>
          <cell r="D674" t="str">
            <v>jaelynjia</v>
          </cell>
          <cell r="E674" t="str">
            <v>品牌运营中心</v>
          </cell>
          <cell r="F674" t="str">
            <v>直播运营组</v>
          </cell>
          <cell r="G674" t="str">
            <v/>
          </cell>
        </row>
        <row r="675">
          <cell r="A675" t="str">
            <v>王辉腾</v>
          </cell>
          <cell r="B675" t="str">
            <v>13265491686</v>
          </cell>
          <cell r="C675" t="str">
            <v>在职</v>
          </cell>
          <cell r="D675" t="str">
            <v>whitonwang</v>
          </cell>
          <cell r="E675" t="str">
            <v>学习产品中心</v>
          </cell>
          <cell r="F675" t="str">
            <v>圈子业务组</v>
          </cell>
          <cell r="G675" t="str">
            <v/>
          </cell>
        </row>
        <row r="676">
          <cell r="A676" t="str">
            <v>石杨</v>
          </cell>
          <cell r="B676" t="str">
            <v>13341455279</v>
          </cell>
          <cell r="C676" t="str">
            <v>在职</v>
          </cell>
          <cell r="D676" t="str">
            <v>alexshi</v>
          </cell>
          <cell r="E676" t="str">
            <v>基础平台中心</v>
          </cell>
          <cell r="F676" t="str">
            <v>测试运维组</v>
          </cell>
          <cell r="G676" t="str">
            <v>教培测试组</v>
          </cell>
        </row>
        <row r="677">
          <cell r="A677" t="str">
            <v>杜文剑</v>
          </cell>
          <cell r="B677" t="str">
            <v>18995533685</v>
          </cell>
          <cell r="C677" t="str">
            <v>在职</v>
          </cell>
          <cell r="D677" t="str">
            <v>anthonydu</v>
          </cell>
          <cell r="E677" t="str">
            <v>基础平台中心</v>
          </cell>
          <cell r="F677" t="str">
            <v>出海研发组</v>
          </cell>
          <cell r="G677" t="str">
            <v/>
          </cell>
        </row>
        <row r="678">
          <cell r="A678" t="str">
            <v>盛雨欣</v>
          </cell>
          <cell r="B678" t="str">
            <v>13133532137</v>
          </cell>
          <cell r="C678" t="str">
            <v>在职</v>
          </cell>
          <cell r="D678" t="str">
            <v>yuxinsheng</v>
          </cell>
          <cell r="E678" t="str">
            <v>直播平台中心</v>
          </cell>
          <cell r="F678" t="str">
            <v>直播产品组</v>
          </cell>
          <cell r="G678" t="str">
            <v/>
          </cell>
        </row>
        <row r="679">
          <cell r="A679" t="str">
            <v>陈峰</v>
          </cell>
          <cell r="B679" t="str">
            <v>18926550040</v>
          </cell>
          <cell r="C679" t="str">
            <v>在职</v>
          </cell>
          <cell r="D679" t="str">
            <v>fengchen</v>
          </cell>
          <cell r="E679" t="str">
            <v>生态运营中心</v>
          </cell>
          <cell r="F679" t="str">
            <v>生态行业运营组</v>
          </cell>
          <cell r="G679" t="str">
            <v/>
          </cell>
        </row>
        <row r="680">
          <cell r="A680" t="str">
            <v>陈梓阳</v>
          </cell>
          <cell r="B680" t="str">
            <v>13229618958</v>
          </cell>
          <cell r="C680" t="str">
            <v>在职</v>
          </cell>
          <cell r="D680" t="str">
            <v>youngchen</v>
          </cell>
          <cell r="E680" t="str">
            <v>数智平台中心</v>
          </cell>
          <cell r="F680" t="str">
            <v>数据仓库组</v>
          </cell>
          <cell r="G680" t="str">
            <v/>
          </cell>
        </row>
        <row r="681">
          <cell r="A681" t="str">
            <v>周博</v>
          </cell>
          <cell r="B681" t="str">
            <v>15629987776</v>
          </cell>
          <cell r="C681" t="str">
            <v>在职</v>
          </cell>
          <cell r="D681" t="str">
            <v>milkzhou</v>
          </cell>
          <cell r="E681" t="str">
            <v>数智平台中心</v>
          </cell>
          <cell r="F681" t="str">
            <v>数智后台二组</v>
          </cell>
          <cell r="G681" t="str">
            <v/>
          </cell>
        </row>
        <row r="682">
          <cell r="A682" t="str">
            <v>邹金鹏</v>
          </cell>
          <cell r="B682" t="str">
            <v>17645425083</v>
          </cell>
          <cell r="C682" t="str">
            <v>在职</v>
          </cell>
          <cell r="D682" t="str">
            <v>alexzou</v>
          </cell>
          <cell r="E682" t="str">
            <v>数智平台中心</v>
          </cell>
          <cell r="F682" t="str">
            <v>数智产品组</v>
          </cell>
          <cell r="G682" t="str">
            <v/>
          </cell>
        </row>
        <row r="683">
          <cell r="A683" t="str">
            <v>贾程阳</v>
          </cell>
          <cell r="B683" t="str">
            <v>13253372868</v>
          </cell>
          <cell r="C683" t="str">
            <v>在职</v>
          </cell>
          <cell r="D683" t="str">
            <v>youngjia</v>
          </cell>
          <cell r="E683" t="str">
            <v>电商产品中心</v>
          </cell>
          <cell r="F683" t="str">
            <v>电商前端二组</v>
          </cell>
          <cell r="G683" t="str">
            <v/>
          </cell>
        </row>
        <row r="684">
          <cell r="A684" t="str">
            <v>孙国利</v>
          </cell>
          <cell r="B684" t="str">
            <v>17611221822</v>
          </cell>
          <cell r="C684" t="str">
            <v>在职</v>
          </cell>
          <cell r="D684" t="str">
            <v>lisun</v>
          </cell>
          <cell r="E684" t="str">
            <v>战略投资中心</v>
          </cell>
          <cell r="F684" t="str">
            <v>风控组</v>
          </cell>
          <cell r="G684" t="str">
            <v/>
          </cell>
        </row>
        <row r="685">
          <cell r="A685" t="str">
            <v>张耀阶</v>
          </cell>
          <cell r="B685" t="str">
            <v>15820347739</v>
          </cell>
          <cell r="C685" t="str">
            <v>在职</v>
          </cell>
          <cell r="D685" t="str">
            <v>ryanzzhang</v>
          </cell>
          <cell r="E685" t="str">
            <v>产品运营中心</v>
          </cell>
          <cell r="F685" t="str">
            <v>客户服务组</v>
          </cell>
          <cell r="G685" t="str">
            <v>投诉热线组</v>
          </cell>
        </row>
        <row r="686">
          <cell r="A686" t="str">
            <v>冉子求</v>
          </cell>
          <cell r="B686" t="str">
            <v>17513184790</v>
          </cell>
          <cell r="C686" t="str">
            <v>在职</v>
          </cell>
          <cell r="D686" t="str">
            <v>ziqiuran</v>
          </cell>
          <cell r="E686" t="str">
            <v>产品运营中心</v>
          </cell>
          <cell r="F686" t="str">
            <v>客户服务组</v>
          </cell>
          <cell r="G686" t="str">
            <v>基础管家一组</v>
          </cell>
        </row>
        <row r="687">
          <cell r="A687" t="str">
            <v>贝紫凝</v>
          </cell>
          <cell r="B687" t="str">
            <v>18978442356</v>
          </cell>
          <cell r="C687" t="str">
            <v>在职</v>
          </cell>
          <cell r="D687" t="str">
            <v>cynthiabei</v>
          </cell>
          <cell r="E687" t="str">
            <v>营销产品中心</v>
          </cell>
          <cell r="F687" t="str">
            <v>营销产品组</v>
          </cell>
          <cell r="G687" t="str">
            <v/>
          </cell>
        </row>
        <row r="688">
          <cell r="A688" t="str">
            <v>郑钟豪</v>
          </cell>
          <cell r="B688" t="str">
            <v>15019701945</v>
          </cell>
          <cell r="C688" t="str">
            <v>在职</v>
          </cell>
          <cell r="D688" t="str">
            <v>zhonghaozheng</v>
          </cell>
          <cell r="E688" t="str">
            <v>基础平台中心</v>
          </cell>
          <cell r="F688" t="str">
            <v>测试运维组</v>
          </cell>
          <cell r="G688" t="str">
            <v>平台测试组</v>
          </cell>
        </row>
        <row r="689">
          <cell r="A689" t="str">
            <v>王梓达</v>
          </cell>
          <cell r="B689" t="str">
            <v>15187732796</v>
          </cell>
          <cell r="C689" t="str">
            <v>在职</v>
          </cell>
          <cell r="D689" t="str">
            <v>kevinwang</v>
          </cell>
          <cell r="E689" t="str">
            <v>数智平台中心</v>
          </cell>
          <cell r="F689" t="str">
            <v>数据仓库组</v>
          </cell>
          <cell r="G689" t="str">
            <v/>
          </cell>
        </row>
        <row r="690">
          <cell r="A690" t="str">
            <v>李雪</v>
          </cell>
          <cell r="B690" t="str">
            <v>18810775191</v>
          </cell>
          <cell r="C690" t="str">
            <v>在职</v>
          </cell>
          <cell r="D690" t="str">
            <v>xueli</v>
          </cell>
          <cell r="E690" t="str">
            <v>运营支持中心</v>
          </cell>
          <cell r="F690" t="str">
            <v>法务组</v>
          </cell>
          <cell r="G690" t="str">
            <v/>
          </cell>
        </row>
        <row r="691">
          <cell r="A691" t="str">
            <v>段菲</v>
          </cell>
          <cell r="B691" t="str">
            <v>16673418926</v>
          </cell>
          <cell r="C691" t="str">
            <v>在职</v>
          </cell>
          <cell r="D691" t="str">
            <v>feiduan</v>
          </cell>
          <cell r="E691" t="str">
            <v>学习产品中心</v>
          </cell>
          <cell r="F691" t="str">
            <v>助学业务组</v>
          </cell>
          <cell r="G691" t="str">
            <v/>
          </cell>
        </row>
        <row r="692">
          <cell r="A692" t="str">
            <v>赵冀川</v>
          </cell>
          <cell r="B692" t="str">
            <v>15230261380</v>
          </cell>
          <cell r="C692" t="str">
            <v>在职</v>
          </cell>
          <cell r="D692" t="str">
            <v>jczhao</v>
          </cell>
          <cell r="E692" t="str">
            <v>产品运营中心</v>
          </cell>
          <cell r="F692" t="str">
            <v>客户服务组</v>
          </cell>
          <cell r="G692" t="str">
            <v>基础管家一组</v>
          </cell>
        </row>
        <row r="693">
          <cell r="A693" t="str">
            <v>刘靖</v>
          </cell>
          <cell r="B693" t="str">
            <v>15013707153</v>
          </cell>
          <cell r="C693" t="str">
            <v>在职</v>
          </cell>
          <cell r="D693" t="str">
            <v>garyliu</v>
          </cell>
          <cell r="E693" t="str">
            <v>产品运营中心</v>
          </cell>
          <cell r="F693" t="str">
            <v>客户服务组</v>
          </cell>
          <cell r="G693" t="str">
            <v>基础管家二组</v>
          </cell>
        </row>
        <row r="694">
          <cell r="A694" t="str">
            <v>谭弘权</v>
          </cell>
          <cell r="B694" t="str">
            <v>13707051816</v>
          </cell>
          <cell r="C694" t="str">
            <v>在职</v>
          </cell>
          <cell r="D694" t="str">
            <v>ekkotan</v>
          </cell>
          <cell r="E694" t="str">
            <v>基础平台中心</v>
          </cell>
          <cell r="F694" t="str">
            <v>出海研发组</v>
          </cell>
          <cell r="G694" t="str">
            <v/>
          </cell>
        </row>
        <row r="695">
          <cell r="A695" t="str">
            <v>邹杭</v>
          </cell>
          <cell r="B695" t="str">
            <v>13973667090</v>
          </cell>
          <cell r="C695" t="str">
            <v>在职</v>
          </cell>
          <cell r="D695" t="str">
            <v>bellazou</v>
          </cell>
          <cell r="E695" t="str">
            <v>产品运营中心</v>
          </cell>
          <cell r="F695" t="str">
            <v>运营组</v>
          </cell>
          <cell r="G695" t="str">
            <v/>
          </cell>
        </row>
        <row r="696">
          <cell r="A696" t="str">
            <v>苏蕾</v>
          </cell>
          <cell r="B696" t="str">
            <v>13459255706</v>
          </cell>
          <cell r="C696" t="str">
            <v>在职</v>
          </cell>
          <cell r="D696" t="str">
            <v>surysu</v>
          </cell>
          <cell r="E696" t="str">
            <v>综合职能中心</v>
          </cell>
          <cell r="F696" t="str">
            <v>CEO创新小组</v>
          </cell>
          <cell r="G696" t="str">
            <v>对话标杆组</v>
          </cell>
        </row>
        <row r="697">
          <cell r="A697" t="str">
            <v>李梓瑜</v>
          </cell>
          <cell r="B697" t="str">
            <v>17328021339</v>
          </cell>
          <cell r="C697" t="str">
            <v>在职</v>
          </cell>
          <cell r="D697" t="str">
            <v>dorisli</v>
          </cell>
          <cell r="E697" t="str">
            <v>产品运营中心</v>
          </cell>
          <cell r="F697" t="str">
            <v>基础产品组</v>
          </cell>
          <cell r="G697" t="str">
            <v/>
          </cell>
        </row>
        <row r="698">
          <cell r="A698" t="str">
            <v>覃国权</v>
          </cell>
          <cell r="B698" t="str">
            <v>15602213389</v>
          </cell>
          <cell r="C698" t="str">
            <v>在职</v>
          </cell>
          <cell r="D698" t="str">
            <v>kentqin</v>
          </cell>
          <cell r="E698" t="str">
            <v>产品运营中心</v>
          </cell>
          <cell r="F698" t="str">
            <v>出海产品组</v>
          </cell>
          <cell r="G698" t="str">
            <v/>
          </cell>
        </row>
        <row r="699">
          <cell r="A699" t="str">
            <v>郑敏怡</v>
          </cell>
          <cell r="B699" t="str">
            <v>13660109111</v>
          </cell>
          <cell r="C699" t="str">
            <v>在职</v>
          </cell>
          <cell r="D699" t="str">
            <v>milliezheng</v>
          </cell>
          <cell r="E699" t="str">
            <v>运营支持中心</v>
          </cell>
          <cell r="F699" t="str">
            <v>运营产品组</v>
          </cell>
          <cell r="G699" t="str">
            <v/>
          </cell>
        </row>
        <row r="700">
          <cell r="A700" t="str">
            <v>高悦涵</v>
          </cell>
          <cell r="B700" t="str">
            <v>15095093579</v>
          </cell>
          <cell r="C700" t="str">
            <v>在职</v>
          </cell>
          <cell r="D700" t="str">
            <v>aryagao</v>
          </cell>
          <cell r="E700" t="str">
            <v>营销产品中心</v>
          </cell>
          <cell r="F700" t="str">
            <v>营销产品组</v>
          </cell>
          <cell r="G700" t="str">
            <v/>
          </cell>
        </row>
        <row r="701">
          <cell r="A701" t="str">
            <v>郝嘉铭</v>
          </cell>
          <cell r="B701" t="str">
            <v>13805343298</v>
          </cell>
          <cell r="C701" t="str">
            <v>在职</v>
          </cell>
          <cell r="D701" t="str">
            <v>jayhao</v>
          </cell>
          <cell r="E701" t="str">
            <v>综合职能中心</v>
          </cell>
          <cell r="F701" t="str">
            <v>CEO创新小组</v>
          </cell>
          <cell r="G701" t="str">
            <v>出海运营组</v>
          </cell>
        </row>
        <row r="702">
          <cell r="A702" t="str">
            <v>范思睿</v>
          </cell>
          <cell r="B702" t="str">
            <v>18152705497</v>
          </cell>
          <cell r="C702" t="str">
            <v>在职</v>
          </cell>
          <cell r="D702" t="str">
            <v>fatefan</v>
          </cell>
          <cell r="E702" t="str">
            <v>产品运营中心</v>
          </cell>
          <cell r="F702" t="str">
            <v>客户服务组</v>
          </cell>
          <cell r="G702" t="str">
            <v>基础管家二组</v>
          </cell>
        </row>
        <row r="703">
          <cell r="A703" t="str">
            <v>欧嘉伟</v>
          </cell>
          <cell r="B703" t="str">
            <v>13267401660</v>
          </cell>
          <cell r="C703" t="str">
            <v>在职</v>
          </cell>
          <cell r="D703" t="str">
            <v>andrewou</v>
          </cell>
          <cell r="E703" t="str">
            <v>产品运营中心</v>
          </cell>
          <cell r="F703" t="str">
            <v>UI组</v>
          </cell>
          <cell r="G703" t="str">
            <v/>
          </cell>
        </row>
        <row r="704">
          <cell r="A704" t="str">
            <v>刘敏珊</v>
          </cell>
          <cell r="B704" t="str">
            <v>13798333342</v>
          </cell>
          <cell r="C704" t="str">
            <v>在职</v>
          </cell>
          <cell r="D704" t="str">
            <v>tracyliu</v>
          </cell>
          <cell r="E704" t="str">
            <v>基础平台中心</v>
          </cell>
          <cell r="F704" t="str">
            <v>出海研发组</v>
          </cell>
          <cell r="G704" t="str">
            <v/>
          </cell>
        </row>
        <row r="705">
          <cell r="A705" t="str">
            <v>郑瑾阳</v>
          </cell>
          <cell r="B705" t="str">
            <v>13950010225</v>
          </cell>
          <cell r="C705" t="str">
            <v>在职</v>
          </cell>
          <cell r="D705" t="str">
            <v>ericzheng@xiaoe-tech.com</v>
          </cell>
          <cell r="E705" t="str">
            <v>综合职能中心</v>
          </cell>
          <cell r="F705" t="str">
            <v>CEO创新小组</v>
          </cell>
          <cell r="G705" t="str">
            <v>出海运营组</v>
          </cell>
        </row>
        <row r="706">
          <cell r="A706" t="str">
            <v>刘俊杰</v>
          </cell>
          <cell r="B706" t="str">
            <v>15895118896</v>
          </cell>
          <cell r="C706" t="str">
            <v>在职</v>
          </cell>
          <cell r="D706" t="str">
            <v>zaneliu</v>
          </cell>
          <cell r="E706" t="str">
            <v>品牌运营中心</v>
          </cell>
          <cell r="F706" t="str">
            <v>新媒体组</v>
          </cell>
          <cell r="G706" t="str">
            <v/>
          </cell>
        </row>
        <row r="707">
          <cell r="A707" t="str">
            <v>刘芋利</v>
          </cell>
          <cell r="B707" t="str">
            <v>18323131948</v>
          </cell>
          <cell r="C707" t="str">
            <v>在职</v>
          </cell>
          <cell r="D707" t="str">
            <v>yvonneliu</v>
          </cell>
          <cell r="E707" t="str">
            <v>产品运营中心</v>
          </cell>
          <cell r="F707" t="str">
            <v>运营组</v>
          </cell>
          <cell r="G707" t="str">
            <v/>
          </cell>
        </row>
        <row r="708">
          <cell r="A708" t="str">
            <v>许楠</v>
          </cell>
          <cell r="B708" t="str">
            <v>13534901771</v>
          </cell>
          <cell r="C708" t="str">
            <v>在职</v>
          </cell>
          <cell r="D708" t="str">
            <v>cosinexu</v>
          </cell>
          <cell r="E708" t="str">
            <v>产品运营中心</v>
          </cell>
          <cell r="F708" t="str">
            <v>商家产品组</v>
          </cell>
          <cell r="G708" t="str">
            <v/>
          </cell>
        </row>
        <row r="709">
          <cell r="A709" t="str">
            <v>张德胜</v>
          </cell>
          <cell r="B709" t="str">
            <v>13699761127</v>
          </cell>
          <cell r="C709" t="str">
            <v>离职</v>
          </cell>
          <cell r="D709" t="str">
            <v>deshengzhang</v>
          </cell>
          <cell r="E709" t="str">
            <v>KA销售中心</v>
          </cell>
          <cell r="F709" t="str">
            <v>渠道合作组-西南区</v>
          </cell>
          <cell r="G709" t="str">
            <v/>
          </cell>
        </row>
        <row r="710">
          <cell r="A710" t="str">
            <v>罗永顺</v>
          </cell>
          <cell r="B710" t="str">
            <v>13316971395</v>
          </cell>
          <cell r="C710" t="str">
            <v>离职</v>
          </cell>
          <cell r="D710" t="str">
            <v>williamluo</v>
          </cell>
          <cell r="E710" t="str">
            <v>KA销售中心</v>
          </cell>
          <cell r="F710" t="str">
            <v>渠道合作组-华南区</v>
          </cell>
          <cell r="G710" t="str">
            <v/>
          </cell>
        </row>
        <row r="711">
          <cell r="A711" t="str">
            <v>林培锐</v>
          </cell>
          <cell r="B711" t="str">
            <v>13172500275</v>
          </cell>
          <cell r="C711" t="str">
            <v>离职</v>
          </cell>
          <cell r="D711" t="str">
            <v>mengublin</v>
          </cell>
          <cell r="E711" t="str">
            <v>学习产品中心</v>
          </cell>
          <cell r="F711" t="str">
            <v>学习平台组</v>
          </cell>
          <cell r="G711" t="str">
            <v/>
          </cell>
        </row>
        <row r="712">
          <cell r="A712" t="str">
            <v>白冰妍</v>
          </cell>
          <cell r="B712" t="str">
            <v>17539316805</v>
          </cell>
          <cell r="C712" t="str">
            <v>离职</v>
          </cell>
          <cell r="D712" t="str">
            <v>bethanybai</v>
          </cell>
          <cell r="E712" t="str">
            <v>品牌运营中心</v>
          </cell>
          <cell r="F712" t="str">
            <v>视觉组</v>
          </cell>
          <cell r="G712" t="str">
            <v/>
          </cell>
        </row>
        <row r="713">
          <cell r="A713" t="str">
            <v>黎颖武</v>
          </cell>
          <cell r="B713" t="str">
            <v>17520064814</v>
          </cell>
          <cell r="C713" t="str">
            <v>离职</v>
          </cell>
          <cell r="D713" t="str">
            <v>yingwuli</v>
          </cell>
          <cell r="E713" t="str">
            <v>学习产品中心</v>
          </cell>
          <cell r="F713" t="str">
            <v>圈子业务组</v>
          </cell>
          <cell r="G713" t="str">
            <v/>
          </cell>
        </row>
        <row r="714">
          <cell r="A714" t="str">
            <v>任印浩</v>
          </cell>
          <cell r="B714" t="str">
            <v>13272042305</v>
          </cell>
          <cell r="C714" t="str">
            <v>离职</v>
          </cell>
          <cell r="D714" t="str">
            <v>johnren</v>
          </cell>
          <cell r="E714" t="str">
            <v>基础平台中心</v>
          </cell>
          <cell r="F714" t="str">
            <v>素材中心组</v>
          </cell>
          <cell r="G714" t="str">
            <v/>
          </cell>
        </row>
        <row r="715">
          <cell r="A715" t="str">
            <v>雷春年</v>
          </cell>
          <cell r="B715" t="str">
            <v>18514230992</v>
          </cell>
          <cell r="C715" t="str">
            <v>离职</v>
          </cell>
          <cell r="D715" t="str">
            <v>chunnianlei</v>
          </cell>
          <cell r="E715" t="str">
            <v>生态运营中心</v>
          </cell>
          <cell r="F715" t="str">
            <v>KA运营组</v>
          </cell>
          <cell r="G715" t="str">
            <v/>
          </cell>
        </row>
        <row r="716">
          <cell r="A716" t="str">
            <v>林灿彬</v>
          </cell>
          <cell r="B716" t="str">
            <v>17177867678</v>
          </cell>
          <cell r="C716" t="str">
            <v>离职</v>
          </cell>
          <cell r="D716" t="str">
            <v>carbinlin</v>
          </cell>
          <cell r="E716" t="str">
            <v>基础平台中心</v>
          </cell>
          <cell r="F716" t="str">
            <v>前端开发组</v>
          </cell>
          <cell r="G716" t="str">
            <v/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B14" sqref="B14"/>
    </sheetView>
  </sheetViews>
  <sheetFormatPr defaultColWidth="9" defaultRowHeight="14.4" outlineLevelCol="7"/>
  <cols>
    <col min="1" max="1" width="23.4351851851852" customWidth="1"/>
    <col min="2" max="2" width="25.7777777777778" customWidth="1"/>
    <col min="3" max="3" width="23.4351851851852" customWidth="1"/>
    <col min="4" max="4" width="25.7777777777778" customWidth="1"/>
    <col min="5" max="8" width="23.4351851851852" customWidth="1"/>
  </cols>
  <sheetData>
    <row r="1" ht="17.4" spans="1:6">
      <c r="A1" s="20" t="s">
        <v>0</v>
      </c>
      <c r="B1" s="20" t="s">
        <v>1</v>
      </c>
      <c r="C1" s="20" t="s">
        <v>1</v>
      </c>
      <c r="D1" s="20" t="s">
        <v>1</v>
      </c>
    </row>
    <row r="2" ht="17.4" spans="1:6">
      <c r="A2" s="22" t="s">
        <v>2</v>
      </c>
      <c r="B2" s="24" t="s">
        <v>3</v>
      </c>
      <c r="C2" s="22" t="s">
        <v>4</v>
      </c>
      <c r="D2" s="24" t="s">
        <v>5</v>
      </c>
    </row>
    <row r="3" ht="17.4" spans="1:6">
      <c r="A3" s="22" t="s">
        <v>6</v>
      </c>
      <c r="B3" s="24" t="s">
        <v>7</v>
      </c>
      <c r="C3" s="24" t="s">
        <v>1</v>
      </c>
      <c r="D3" s="24" t="s">
        <v>1</v>
      </c>
    </row>
    <row r="4" ht="17.4" spans="1:6">
      <c r="A4" s="20" t="s">
        <v>8</v>
      </c>
      <c r="B4" s="20" t="s">
        <v>1</v>
      </c>
      <c r="C4" s="20" t="s">
        <v>1</v>
      </c>
      <c r="D4" s="20" t="s">
        <v>1</v>
      </c>
    </row>
    <row r="5" ht="17.4" spans="1:6">
      <c r="A5" s="22" t="s">
        <v>9</v>
      </c>
      <c r="B5" s="24" t="s">
        <v>10</v>
      </c>
      <c r="C5" s="22" t="s">
        <v>11</v>
      </c>
      <c r="D5" s="24" t="s">
        <v>12</v>
      </c>
    </row>
    <row r="6" ht="17.4" spans="1:6">
      <c r="A6" s="22" t="s">
        <v>13</v>
      </c>
      <c r="B6" s="24" t="s">
        <v>14</v>
      </c>
      <c r="C6" s="22" t="s">
        <v>15</v>
      </c>
      <c r="D6" s="24" t="s">
        <v>16</v>
      </c>
    </row>
    <row r="8" ht="17.4" spans="1:6">
      <c r="A8" s="20" t="s">
        <v>17</v>
      </c>
      <c r="B8" s="20" t="s">
        <v>18</v>
      </c>
      <c r="C8" s="20" t="s">
        <v>19</v>
      </c>
      <c r="D8" s="20" t="s">
        <v>20</v>
      </c>
    </row>
    <row r="9" ht="17.4" spans="1:6">
      <c r="A9" s="24" t="s">
        <v>21</v>
      </c>
      <c r="B9" s="21">
        <v>193210.28</v>
      </c>
      <c r="C9" s="24" t="s">
        <v>1</v>
      </c>
      <c r="D9" s="25" t="s">
        <v>1</v>
      </c>
    </row>
    <row r="10" ht="17.4" spans="1:6">
      <c r="A10" s="24" t="s">
        <v>22</v>
      </c>
      <c r="B10" s="21">
        <v>145660</v>
      </c>
      <c r="C10" s="24" t="s">
        <v>1</v>
      </c>
      <c r="D10" s="25" t="s">
        <v>1</v>
      </c>
    </row>
    <row r="11" ht="34.8" spans="1:6">
      <c r="A11" s="24" t="s">
        <v>23</v>
      </c>
      <c r="B11" s="21">
        <v>140534</v>
      </c>
      <c r="C11" s="24" t="s">
        <v>24</v>
      </c>
      <c r="D11" s="25" t="s">
        <v>25</v>
      </c>
    </row>
    <row r="12" ht="17.4" spans="1:6">
      <c r="A12" s="24" t="s">
        <v>26</v>
      </c>
      <c r="B12" s="26">
        <v>3190</v>
      </c>
      <c r="C12" s="24" t="s">
        <v>27</v>
      </c>
      <c r="D12" s="25" t="s">
        <v>1</v>
      </c>
      <c r="F12">
        <f>151*0.125</f>
        <v>18.875</v>
      </c>
    </row>
    <row r="13" ht="52.2" spans="1:6">
      <c r="A13" s="24" t="s">
        <v>28</v>
      </c>
      <c r="B13" s="26">
        <v>160</v>
      </c>
      <c r="C13" s="24" t="s">
        <v>29</v>
      </c>
      <c r="D13" s="25" t="s">
        <v>30</v>
      </c>
    </row>
    <row r="14" ht="17.4" spans="1:6">
      <c r="A14" s="24" t="s">
        <v>31</v>
      </c>
      <c r="B14" s="26">
        <v>1650</v>
      </c>
      <c r="C14" s="24" t="s">
        <v>32</v>
      </c>
      <c r="D14" s="25" t="s">
        <v>1</v>
      </c>
    </row>
    <row r="15" ht="17.4" spans="1:6">
      <c r="A15" s="24" t="s">
        <v>33</v>
      </c>
      <c r="B15" s="26">
        <v>126</v>
      </c>
      <c r="C15" s="24" t="s">
        <v>34</v>
      </c>
      <c r="D15" s="25" t="s">
        <v>1</v>
      </c>
    </row>
    <row r="16" ht="17.4" spans="1:6">
      <c r="A16" s="24" t="s">
        <v>35</v>
      </c>
      <c r="B16" s="21">
        <v>47412.28</v>
      </c>
      <c r="C16" s="24" t="s">
        <v>1</v>
      </c>
      <c r="D16" s="25" t="s">
        <v>1</v>
      </c>
    </row>
    <row r="17" ht="17.4" spans="1:8">
      <c r="A17" s="24" t="s">
        <v>36</v>
      </c>
      <c r="B17" s="21">
        <v>46573</v>
      </c>
      <c r="C17" s="24" t="s">
        <v>37</v>
      </c>
      <c r="D17" s="25" t="s">
        <v>1</v>
      </c>
    </row>
    <row r="18" ht="17.4" spans="1:8">
      <c r="A18" s="24" t="s">
        <v>38</v>
      </c>
      <c r="B18" s="21">
        <v>839.28</v>
      </c>
      <c r="C18" s="24" t="s">
        <v>37</v>
      </c>
      <c r="D18" s="25" t="s">
        <v>1</v>
      </c>
    </row>
    <row r="19" ht="17.4" spans="1:8">
      <c r="A19" s="24" t="s">
        <v>39</v>
      </c>
      <c r="B19" s="26">
        <v>138</v>
      </c>
      <c r="C19" s="24" t="s">
        <v>1</v>
      </c>
      <c r="D19" s="25" t="s">
        <v>1</v>
      </c>
    </row>
    <row r="20" ht="17.4" spans="1:8">
      <c r="A20" s="24" t="s">
        <v>40</v>
      </c>
      <c r="B20" s="21">
        <v>138</v>
      </c>
      <c r="C20" s="24" t="s">
        <v>41</v>
      </c>
      <c r="D20" s="25" t="s">
        <v>1</v>
      </c>
    </row>
    <row r="21" ht="17.4" spans="1:8">
      <c r="A21" s="22" t="s">
        <v>42</v>
      </c>
      <c r="B21" s="23">
        <v>193210.28</v>
      </c>
      <c r="C21" s="22" t="s">
        <v>1</v>
      </c>
      <c r="D21" s="22" t="s">
        <v>1</v>
      </c>
    </row>
    <row r="24" ht="17.4" spans="1:8">
      <c r="A24" s="20" t="s">
        <v>43</v>
      </c>
      <c r="B24" s="20" t="s">
        <v>1</v>
      </c>
      <c r="C24" s="20" t="s">
        <v>1</v>
      </c>
      <c r="D24" s="20" t="s">
        <v>1</v>
      </c>
      <c r="E24" s="20" t="s">
        <v>1</v>
      </c>
      <c r="F24" s="20" t="s">
        <v>1</v>
      </c>
      <c r="G24" s="20" t="s">
        <v>1</v>
      </c>
      <c r="H24" s="20" t="s">
        <v>1</v>
      </c>
    </row>
    <row r="25" ht="17.4" spans="1:8">
      <c r="A25" s="20" t="s">
        <v>44</v>
      </c>
      <c r="B25" s="20" t="s">
        <v>24</v>
      </c>
      <c r="C25" s="20" t="s">
        <v>27</v>
      </c>
      <c r="D25" s="20" t="s">
        <v>29</v>
      </c>
      <c r="E25" s="20" t="s">
        <v>37</v>
      </c>
      <c r="F25" s="20" t="s">
        <v>41</v>
      </c>
      <c r="G25" s="20" t="s">
        <v>32</v>
      </c>
      <c r="H25" s="20" t="s">
        <v>34</v>
      </c>
    </row>
    <row r="26" ht="17.4" spans="1:8">
      <c r="A26" s="24" t="s">
        <v>1</v>
      </c>
      <c r="B26" s="27">
        <v>140534</v>
      </c>
      <c r="C26" s="27">
        <v>3190</v>
      </c>
      <c r="D26" s="27">
        <v>160</v>
      </c>
      <c r="E26" s="27">
        <v>47412.28</v>
      </c>
      <c r="F26" s="27">
        <v>138</v>
      </c>
      <c r="G26" s="27">
        <v>1650</v>
      </c>
      <c r="H26" s="27">
        <v>126</v>
      </c>
    </row>
    <row r="27" ht="17.4" spans="1:8">
      <c r="A27" s="22" t="s">
        <v>45</v>
      </c>
      <c r="B27" s="23">
        <v>140534</v>
      </c>
      <c r="C27" s="23">
        <v>3190</v>
      </c>
      <c r="D27" s="23">
        <v>160</v>
      </c>
      <c r="E27" s="23">
        <v>47412.28</v>
      </c>
      <c r="F27" s="23">
        <v>138</v>
      </c>
      <c r="G27" s="23">
        <v>1650</v>
      </c>
      <c r="H27" s="23">
        <v>126</v>
      </c>
    </row>
  </sheetData>
  <mergeCells count="4">
    <mergeCell ref="A1:D1"/>
    <mergeCell ref="B3:D3"/>
    <mergeCell ref="A4:D4"/>
    <mergeCell ref="A24:H2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A1"/>
    </sheetView>
  </sheetViews>
  <sheetFormatPr defaultColWidth="9" defaultRowHeight="14.4" outlineLevelCol="5"/>
  <cols>
    <col min="1" max="1" width="10.5462962962963" customWidth="1"/>
    <col min="2" max="2" width="18.75" customWidth="1"/>
    <col min="3" max="3" width="21.0925925925926" customWidth="1"/>
    <col min="4" max="4" width="14.0648148148148" customWidth="1"/>
    <col min="5" max="5" width="18.75" customWidth="1"/>
    <col min="6" max="6" width="21.0925925925926" customWidth="1"/>
  </cols>
  <sheetData>
    <row r="1" ht="17.4" spans="1:6">
      <c r="A1" s="20" t="s">
        <v>46</v>
      </c>
      <c r="B1" s="20" t="s">
        <v>44</v>
      </c>
    </row>
    <row r="3" ht="17.4" spans="1:6">
      <c r="A3" s="20" t="s">
        <v>47</v>
      </c>
      <c r="B3" s="20"/>
      <c r="C3" s="20"/>
      <c r="D3" s="20"/>
      <c r="E3" s="20"/>
      <c r="F3" s="20"/>
    </row>
    <row r="4" ht="17.4" spans="1:6">
      <c r="A4" s="20" t="s">
        <v>1</v>
      </c>
      <c r="B4" s="20" t="s">
        <v>48</v>
      </c>
      <c r="C4" s="20" t="s">
        <v>49</v>
      </c>
      <c r="D4" s="20" t="s">
        <v>50</v>
      </c>
      <c r="E4" s="20" t="s">
        <v>51</v>
      </c>
      <c r="F4" s="20" t="s">
        <v>52</v>
      </c>
    </row>
    <row r="5" ht="15" spans="1:6">
      <c r="A5" s="2" t="s">
        <v>1</v>
      </c>
      <c r="B5" s="21">
        <v>140534</v>
      </c>
      <c r="C5" s="21">
        <v>3190</v>
      </c>
      <c r="D5" s="21">
        <v>160</v>
      </c>
      <c r="E5" s="21">
        <v>1650</v>
      </c>
      <c r="F5" s="21">
        <v>126</v>
      </c>
    </row>
    <row r="6" ht="17.4" spans="1:6">
      <c r="A6" s="22" t="s">
        <v>53</v>
      </c>
      <c r="B6" s="23">
        <v>140534</v>
      </c>
      <c r="C6" s="23">
        <v>3190</v>
      </c>
      <c r="D6" s="23">
        <v>160</v>
      </c>
      <c r="E6" s="23">
        <v>1650</v>
      </c>
      <c r="F6" s="23">
        <v>126</v>
      </c>
    </row>
    <row r="8" ht="17.4" spans="1:6">
      <c r="A8" s="20" t="s">
        <v>54</v>
      </c>
      <c r="B8" s="20"/>
      <c r="C8" s="20"/>
    </row>
    <row r="9" ht="17.4" spans="1:6">
      <c r="A9" s="20" t="s">
        <v>1</v>
      </c>
      <c r="B9" s="20" t="s">
        <v>55</v>
      </c>
      <c r="C9" s="20" t="s">
        <v>56</v>
      </c>
    </row>
    <row r="10" ht="15" spans="1:6">
      <c r="A10" s="2" t="s">
        <v>1</v>
      </c>
      <c r="B10" s="21">
        <v>46573</v>
      </c>
      <c r="C10" s="21">
        <v>839.28</v>
      </c>
    </row>
    <row r="11" ht="17.4" spans="1:6">
      <c r="A11" s="22" t="s">
        <v>53</v>
      </c>
      <c r="B11" s="23">
        <v>46573</v>
      </c>
      <c r="C11" s="23">
        <v>839.28</v>
      </c>
    </row>
    <row r="13" ht="17.4" spans="1:6">
      <c r="A13" s="20" t="s">
        <v>57</v>
      </c>
      <c r="B13" s="20"/>
    </row>
    <row r="14" ht="17.4" spans="1:6">
      <c r="A14" s="20" t="s">
        <v>1</v>
      </c>
      <c r="B14" s="20" t="s">
        <v>58</v>
      </c>
    </row>
    <row r="15" ht="15" spans="1:6">
      <c r="A15" s="2" t="s">
        <v>1</v>
      </c>
      <c r="B15" s="21">
        <v>138</v>
      </c>
    </row>
    <row r="16" ht="17.4" spans="1:6">
      <c r="A16" s="22" t="s">
        <v>53</v>
      </c>
      <c r="B16" s="23">
        <v>138</v>
      </c>
    </row>
  </sheetData>
  <mergeCells count="3">
    <mergeCell ref="A3:F3"/>
    <mergeCell ref="A8:C8"/>
    <mergeCell ref="A13:B1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6"/>
  <sheetViews>
    <sheetView workbookViewId="0">
      <pane xSplit="6" ySplit="1" topLeftCell="AD2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4.4"/>
  <cols>
    <col min="1" max="1" width="18.5462962962963" customWidth="1"/>
    <col min="2" max="2" width="13.4537037037037" customWidth="1"/>
    <col min="3" max="3" width="15.1851851851852" customWidth="1"/>
    <col min="4" max="4" width="11.8148148148148" customWidth="1"/>
    <col min="5" max="6" width="8.81481481481481" customWidth="1"/>
    <col min="7" max="7" width="12.8148148148148" customWidth="1"/>
    <col min="8" max="8" width="24.2685185185185" customWidth="1"/>
    <col min="9" max="10" width="19.3611111111111" customWidth="1"/>
    <col min="11" max="11" width="10.2685185185185" customWidth="1"/>
    <col min="12" max="12" width="18.1851851851852" customWidth="1"/>
    <col min="13" max="13" width="11.2685185185185" customWidth="1"/>
    <col min="14" max="14" width="11.4537037037037" customWidth="1"/>
    <col min="15" max="15" width="8.81481481481481" customWidth="1"/>
    <col min="16" max="16" width="5.36111111111111" customWidth="1"/>
    <col min="17" max="17" width="12" customWidth="1"/>
    <col min="18" max="19" width="9.73148148148148" customWidth="1"/>
    <col min="20" max="20" width="7.26851851851852" customWidth="1"/>
    <col min="21" max="21" width="8.18518518518519" customWidth="1"/>
    <col min="22" max="22" width="15.5462962962963" customWidth="1"/>
    <col min="23" max="24" width="9.73148148148148" customWidth="1"/>
    <col min="25" max="25" width="7.26851851851852" customWidth="1"/>
    <col min="26" max="27" width="19.8148148148148" customWidth="1"/>
    <col min="28" max="28" width="17.7314814814815" customWidth="1"/>
    <col min="29" max="29" width="15.5462962962963" customWidth="1"/>
    <col min="30" max="31" width="11.2685185185185" customWidth="1"/>
    <col min="32" max="32" width="12" customWidth="1"/>
    <col min="33" max="33" width="16.9074074074074" customWidth="1"/>
    <col min="34" max="35" width="15.9074074074074" customWidth="1"/>
    <col min="36" max="36" width="23" customWidth="1"/>
    <col min="37" max="37" width="13.4537037037037" customWidth="1"/>
    <col min="38" max="38" width="15.1851851851852" customWidth="1"/>
  </cols>
  <sheetData>
    <row r="1" ht="35" customHeight="1" spans="1:38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4" t="s">
        <v>64</v>
      </c>
      <c r="G1" s="14" t="s">
        <v>65</v>
      </c>
      <c r="H1" s="14" t="s">
        <v>66</v>
      </c>
      <c r="I1" s="14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4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</row>
    <row r="2" ht="17.5" customHeight="1" spans="1:38">
      <c r="A2" s="8" t="s">
        <v>97</v>
      </c>
      <c r="B2" s="8" t="s">
        <v>98</v>
      </c>
      <c r="C2" s="8" t="s">
        <v>1</v>
      </c>
      <c r="D2" s="8" t="s">
        <v>99</v>
      </c>
      <c r="E2" s="8" t="s">
        <v>100</v>
      </c>
      <c r="F2" s="8" t="s">
        <v>100</v>
      </c>
      <c r="G2" s="15" t="str">
        <f>VLOOKUP(F2,'[1]202501入账'!$A:$G,5,0)</f>
        <v>中心负责人</v>
      </c>
      <c r="H2" s="15" t="str">
        <f>VLOOKUP(F2,'[1]202501入账'!$A:$G,6,0)</f>
        <v/>
      </c>
      <c r="I2" s="10">
        <v>45646.6840277778</v>
      </c>
      <c r="J2" s="10">
        <v>45656.2881944444</v>
      </c>
      <c r="K2" s="8" t="s">
        <v>101</v>
      </c>
      <c r="L2" s="10" t="s">
        <v>1</v>
      </c>
      <c r="M2" s="8" t="s">
        <v>1</v>
      </c>
      <c r="N2" s="8" t="s">
        <v>102</v>
      </c>
      <c r="O2" s="8" t="s">
        <v>103</v>
      </c>
      <c r="P2" s="8" t="s">
        <v>104</v>
      </c>
      <c r="Q2" s="13">
        <v>-670</v>
      </c>
      <c r="R2" s="13">
        <v>-50</v>
      </c>
      <c r="S2" s="13">
        <v>-20</v>
      </c>
      <c r="T2" s="13">
        <v>0</v>
      </c>
      <c r="U2" s="13">
        <v>0</v>
      </c>
      <c r="V2" s="13">
        <v>0</v>
      </c>
      <c r="W2" s="13">
        <v>0</v>
      </c>
      <c r="X2" s="13">
        <v>469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-271</v>
      </c>
      <c r="AG2" s="8" t="s">
        <v>105</v>
      </c>
      <c r="AH2" s="8" t="s">
        <v>106</v>
      </c>
      <c r="AI2" s="8" t="s">
        <v>1</v>
      </c>
      <c r="AJ2" s="8" t="s">
        <v>1</v>
      </c>
      <c r="AK2" s="8" t="s">
        <v>1</v>
      </c>
      <c r="AL2" s="8" t="s">
        <v>1</v>
      </c>
    </row>
    <row r="3" ht="17.5" customHeight="1" spans="1:38">
      <c r="A3" s="8" t="s">
        <v>107</v>
      </c>
      <c r="B3" s="8" t="s">
        <v>98</v>
      </c>
      <c r="C3" s="8" t="s">
        <v>1</v>
      </c>
      <c r="D3" s="8" t="s">
        <v>99</v>
      </c>
      <c r="E3" s="8" t="s">
        <v>100</v>
      </c>
      <c r="F3" s="8" t="s">
        <v>100</v>
      </c>
      <c r="G3" s="15" t="str">
        <f>VLOOKUP(F3,'[1]202501入账'!$A:$G,5,0)</f>
        <v>中心负责人</v>
      </c>
      <c r="H3" s="15" t="str">
        <f>VLOOKUP(F3,'[1]202501入账'!$A:$G,6,0)</f>
        <v/>
      </c>
      <c r="I3" s="10">
        <v>45646.6840277778</v>
      </c>
      <c r="J3" s="10">
        <v>45657.6458333333</v>
      </c>
      <c r="K3" s="8" t="s">
        <v>101</v>
      </c>
      <c r="L3" s="10" t="s">
        <v>1</v>
      </c>
      <c r="M3" s="8" t="s">
        <v>1</v>
      </c>
      <c r="N3" s="8" t="s">
        <v>108</v>
      </c>
      <c r="O3" s="8" t="s">
        <v>109</v>
      </c>
      <c r="P3" s="8" t="s">
        <v>104</v>
      </c>
      <c r="Q3" s="13">
        <v>-830</v>
      </c>
      <c r="R3" s="13">
        <v>-50</v>
      </c>
      <c r="S3" s="13">
        <v>-20</v>
      </c>
      <c r="T3" s="13">
        <v>0</v>
      </c>
      <c r="U3" s="13">
        <v>0</v>
      </c>
      <c r="V3" s="13">
        <v>0</v>
      </c>
      <c r="W3" s="13">
        <v>0</v>
      </c>
      <c r="X3" s="13">
        <v>332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-568</v>
      </c>
      <c r="AG3" s="8" t="s">
        <v>105</v>
      </c>
      <c r="AH3" s="8" t="s">
        <v>110</v>
      </c>
      <c r="AI3" s="8" t="s">
        <v>1</v>
      </c>
      <c r="AJ3" s="8" t="s">
        <v>1</v>
      </c>
      <c r="AK3" s="8" t="s">
        <v>1</v>
      </c>
      <c r="AL3" s="8" t="s">
        <v>1</v>
      </c>
    </row>
    <row r="4" ht="17.5" customHeight="1" spans="1:38">
      <c r="A4" s="2" t="s">
        <v>111</v>
      </c>
      <c r="B4" s="2" t="s">
        <v>112</v>
      </c>
      <c r="C4" s="2" t="s">
        <v>113</v>
      </c>
      <c r="D4" s="2" t="s">
        <v>114</v>
      </c>
      <c r="E4" s="2" t="s">
        <v>115</v>
      </c>
      <c r="F4" s="2" t="s">
        <v>115</v>
      </c>
      <c r="G4" s="15" t="str">
        <f>VLOOKUP(F4,'[1]202501入账'!$A:$G,5,0)</f>
        <v>中心负责人</v>
      </c>
      <c r="H4" s="15" t="str">
        <f>VLOOKUP(F4,'[1]202501入账'!$A:$G,6,0)</f>
        <v/>
      </c>
      <c r="I4" s="6">
        <v>45652.4881944444</v>
      </c>
      <c r="J4" s="6">
        <v>45653.7604166667</v>
      </c>
      <c r="K4" s="2" t="s">
        <v>101</v>
      </c>
      <c r="L4" s="6" t="s">
        <v>1</v>
      </c>
      <c r="M4" s="2" t="s">
        <v>1</v>
      </c>
      <c r="N4" s="2" t="s">
        <v>116</v>
      </c>
      <c r="O4" s="16" t="s">
        <v>117</v>
      </c>
      <c r="P4" s="2" t="s">
        <v>104</v>
      </c>
      <c r="Q4" s="5">
        <v>1530</v>
      </c>
      <c r="R4" s="5">
        <v>50</v>
      </c>
      <c r="S4" s="5">
        <v>20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3</v>
      </c>
      <c r="AC4" s="5">
        <v>30</v>
      </c>
      <c r="AD4" s="5">
        <v>0</v>
      </c>
      <c r="AE4" s="5">
        <v>0</v>
      </c>
      <c r="AF4" s="5">
        <v>1633</v>
      </c>
      <c r="AG4" s="2" t="s">
        <v>1</v>
      </c>
      <c r="AH4" s="2" t="s">
        <v>118</v>
      </c>
      <c r="AI4" s="2" t="s">
        <v>1</v>
      </c>
      <c r="AJ4" s="2" t="s">
        <v>119</v>
      </c>
      <c r="AK4" s="2" t="s">
        <v>1</v>
      </c>
      <c r="AL4" s="2" t="s">
        <v>1</v>
      </c>
    </row>
    <row r="5" ht="17.5" customHeight="1" spans="1:38">
      <c r="A5" s="2" t="s">
        <v>120</v>
      </c>
      <c r="B5" s="2" t="s">
        <v>121</v>
      </c>
      <c r="C5" s="2" t="s">
        <v>1</v>
      </c>
      <c r="D5" s="2" t="s">
        <v>122</v>
      </c>
      <c r="E5" s="2" t="s">
        <v>123</v>
      </c>
      <c r="F5" s="2" t="s">
        <v>123</v>
      </c>
      <c r="G5" s="15" t="str">
        <f>VLOOKUP(F5,'[1]202501入账'!$A:$G,5,0)</f>
        <v>电商产品中心</v>
      </c>
      <c r="H5" s="15" t="str">
        <f>VLOOKUP(F5,'[1]202501入账'!$A:$G,6,0)</f>
        <v>电商产品组</v>
      </c>
      <c r="I5" s="6">
        <v>45652.6076388889</v>
      </c>
      <c r="J5" s="6">
        <v>45653.3055555556</v>
      </c>
      <c r="K5" s="2" t="s">
        <v>101</v>
      </c>
      <c r="L5" s="6" t="s">
        <v>1</v>
      </c>
      <c r="M5" s="2" t="s">
        <v>1</v>
      </c>
      <c r="N5" s="2" t="s">
        <v>124</v>
      </c>
      <c r="O5" s="16" t="s">
        <v>125</v>
      </c>
      <c r="P5" s="2" t="s">
        <v>104</v>
      </c>
      <c r="Q5" s="5">
        <v>800</v>
      </c>
      <c r="R5" s="5">
        <v>50</v>
      </c>
      <c r="S5" s="5">
        <v>20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870</v>
      </c>
      <c r="AG5" s="2" t="s">
        <v>1</v>
      </c>
      <c r="AH5" s="2" t="s">
        <v>126</v>
      </c>
      <c r="AI5" s="2" t="s">
        <v>1</v>
      </c>
      <c r="AJ5" s="2" t="s">
        <v>127</v>
      </c>
      <c r="AK5" s="2" t="s">
        <v>1</v>
      </c>
      <c r="AL5" s="2" t="s">
        <v>1</v>
      </c>
    </row>
    <row r="6" ht="17.5" customHeight="1" spans="1:38">
      <c r="A6" s="2" t="s">
        <v>128</v>
      </c>
      <c r="B6" s="2" t="s">
        <v>121</v>
      </c>
      <c r="C6" s="2" t="s">
        <v>1</v>
      </c>
      <c r="D6" s="2" t="s">
        <v>129</v>
      </c>
      <c r="E6" s="2" t="s">
        <v>130</v>
      </c>
      <c r="F6" s="2" t="s">
        <v>130</v>
      </c>
      <c r="G6" s="15" t="str">
        <f>VLOOKUP(F6,'[1]202501入账'!$A:$G,5,0)</f>
        <v>直播产品中心</v>
      </c>
      <c r="H6" s="15" t="str">
        <f>VLOOKUP(F6,'[1]202501入账'!$A:$G,6,0)</f>
        <v>后台二组</v>
      </c>
      <c r="I6" s="6">
        <v>45652.7347222222</v>
      </c>
      <c r="J6" s="6">
        <v>45653.3055555556</v>
      </c>
      <c r="K6" s="2" t="s">
        <v>101</v>
      </c>
      <c r="L6" s="6" t="s">
        <v>1</v>
      </c>
      <c r="M6" s="2" t="s">
        <v>1</v>
      </c>
      <c r="N6" s="2" t="s">
        <v>124</v>
      </c>
      <c r="O6" s="16" t="s">
        <v>125</v>
      </c>
      <c r="P6" s="2" t="s">
        <v>104</v>
      </c>
      <c r="Q6" s="5">
        <v>720</v>
      </c>
      <c r="R6" s="5">
        <v>50</v>
      </c>
      <c r="S6" s="5">
        <v>20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790</v>
      </c>
      <c r="AG6" s="2" t="s">
        <v>1</v>
      </c>
      <c r="AH6" s="2" t="s">
        <v>131</v>
      </c>
      <c r="AI6" s="2" t="s">
        <v>1</v>
      </c>
      <c r="AJ6" s="2" t="s">
        <v>132</v>
      </c>
      <c r="AK6" s="2" t="s">
        <v>1</v>
      </c>
      <c r="AL6" s="2" t="s">
        <v>1</v>
      </c>
    </row>
    <row r="7" ht="17.5" customHeight="1" spans="1:38">
      <c r="A7" s="2" t="s">
        <v>133</v>
      </c>
      <c r="B7" s="2" t="s">
        <v>121</v>
      </c>
      <c r="C7" s="2" t="s">
        <v>1</v>
      </c>
      <c r="D7" s="2" t="s">
        <v>134</v>
      </c>
      <c r="E7" s="2" t="s">
        <v>135</v>
      </c>
      <c r="F7" s="2" t="s">
        <v>135</v>
      </c>
      <c r="G7" s="15" t="str">
        <f>VLOOKUP(F7,'[1]202501入账'!$A:$G,5,0)</f>
        <v>中心负责人</v>
      </c>
      <c r="H7" s="15" t="str">
        <f>VLOOKUP(F7,'[1]202501入账'!$A:$G,6,0)</f>
        <v/>
      </c>
      <c r="I7" s="6">
        <v>45652.7993055556</v>
      </c>
      <c r="J7" s="6">
        <v>45654.2708333333</v>
      </c>
      <c r="K7" s="2" t="s">
        <v>101</v>
      </c>
      <c r="L7" s="6" t="s">
        <v>1</v>
      </c>
      <c r="M7" s="2" t="s">
        <v>1</v>
      </c>
      <c r="N7" s="2" t="s">
        <v>136</v>
      </c>
      <c r="O7" s="16" t="s">
        <v>137</v>
      </c>
      <c r="P7" s="2" t="s">
        <v>104</v>
      </c>
      <c r="Q7" s="5">
        <v>520</v>
      </c>
      <c r="R7" s="5">
        <v>50</v>
      </c>
      <c r="S7" s="5">
        <v>20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30</v>
      </c>
      <c r="AD7" s="5">
        <v>0</v>
      </c>
      <c r="AE7" s="5">
        <v>0</v>
      </c>
      <c r="AF7" s="5">
        <v>620</v>
      </c>
      <c r="AG7" s="2" t="s">
        <v>1</v>
      </c>
      <c r="AH7" s="2" t="s">
        <v>138</v>
      </c>
      <c r="AI7" s="2" t="s">
        <v>1</v>
      </c>
      <c r="AJ7" s="2" t="s">
        <v>139</v>
      </c>
      <c r="AK7" s="2" t="s">
        <v>1</v>
      </c>
      <c r="AL7" s="2" t="s">
        <v>1</v>
      </c>
    </row>
    <row r="8" ht="17.5" customHeight="1" spans="1:38">
      <c r="A8" s="2" t="s">
        <v>140</v>
      </c>
      <c r="B8" s="2" t="s">
        <v>121</v>
      </c>
      <c r="C8" s="2" t="s">
        <v>113</v>
      </c>
      <c r="D8" s="2" t="s">
        <v>141</v>
      </c>
      <c r="E8" s="2" t="s">
        <v>142</v>
      </c>
      <c r="F8" s="2" t="s">
        <v>142</v>
      </c>
      <c r="G8" s="15" t="str">
        <f>VLOOKUP(F8,'[1]202501入账'!$A:$G,5,0)</f>
        <v>生态运营中心</v>
      </c>
      <c r="H8" s="15" t="str">
        <f>VLOOKUP(F8,'[1]202501入账'!$A:$G,6,0)</f>
        <v>KA运营组</v>
      </c>
      <c r="I8" s="6">
        <v>45652.9798611111</v>
      </c>
      <c r="J8" s="6">
        <v>45653.4166666667</v>
      </c>
      <c r="K8" s="2" t="s">
        <v>101</v>
      </c>
      <c r="L8" s="6" t="s">
        <v>1</v>
      </c>
      <c r="M8" s="2" t="s">
        <v>1</v>
      </c>
      <c r="N8" s="2" t="s">
        <v>143</v>
      </c>
      <c r="O8" s="16" t="s">
        <v>144</v>
      </c>
      <c r="P8" s="2" t="s">
        <v>104</v>
      </c>
      <c r="Q8" s="5">
        <v>650</v>
      </c>
      <c r="R8" s="5">
        <v>50</v>
      </c>
      <c r="S8" s="5">
        <v>20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720</v>
      </c>
      <c r="AG8" s="2" t="s">
        <v>1</v>
      </c>
      <c r="AH8" s="2" t="s">
        <v>145</v>
      </c>
      <c r="AI8" s="2" t="s">
        <v>1</v>
      </c>
      <c r="AJ8" s="2" t="s">
        <v>146</v>
      </c>
      <c r="AK8" s="2" t="s">
        <v>1</v>
      </c>
      <c r="AL8" s="2" t="s">
        <v>1</v>
      </c>
    </row>
    <row r="9" ht="17.5" customHeight="1" spans="1:38">
      <c r="A9" s="2" t="s">
        <v>147</v>
      </c>
      <c r="B9" s="2" t="s">
        <v>121</v>
      </c>
      <c r="C9" s="2" t="s">
        <v>1</v>
      </c>
      <c r="D9" s="2" t="s">
        <v>148</v>
      </c>
      <c r="E9" s="2" t="s">
        <v>149</v>
      </c>
      <c r="F9" s="2" t="s">
        <v>150</v>
      </c>
      <c r="G9" s="15" t="s">
        <v>151</v>
      </c>
      <c r="H9" s="17" t="s">
        <v>152</v>
      </c>
      <c r="I9" s="6">
        <v>45653.4625</v>
      </c>
      <c r="J9" s="6">
        <v>45671.4305555556</v>
      </c>
      <c r="K9" s="2" t="s">
        <v>101</v>
      </c>
      <c r="L9" s="6" t="s">
        <v>1</v>
      </c>
      <c r="M9" s="2" t="s">
        <v>1</v>
      </c>
      <c r="N9" s="2" t="s">
        <v>153</v>
      </c>
      <c r="O9" s="16" t="s">
        <v>154</v>
      </c>
      <c r="P9" s="2" t="s">
        <v>104</v>
      </c>
      <c r="Q9" s="5">
        <v>430</v>
      </c>
      <c r="R9" s="5">
        <v>50</v>
      </c>
      <c r="S9" s="5">
        <v>20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500</v>
      </c>
      <c r="AG9" s="2" t="s">
        <v>1</v>
      </c>
      <c r="AH9" s="2" t="s">
        <v>155</v>
      </c>
      <c r="AI9" s="2" t="s">
        <v>1</v>
      </c>
      <c r="AJ9" s="2" t="s">
        <v>156</v>
      </c>
      <c r="AK9" s="2" t="s">
        <v>1</v>
      </c>
      <c r="AL9" s="2" t="s">
        <v>1</v>
      </c>
    </row>
    <row r="10" ht="17.5" customHeight="1" spans="1:38">
      <c r="A10" s="2" t="s">
        <v>157</v>
      </c>
      <c r="B10" s="2" t="s">
        <v>121</v>
      </c>
      <c r="C10" s="2" t="s">
        <v>158</v>
      </c>
      <c r="D10" s="2" t="s">
        <v>148</v>
      </c>
      <c r="E10" s="2" t="s">
        <v>149</v>
      </c>
      <c r="F10" s="2" t="s">
        <v>150</v>
      </c>
      <c r="G10" s="15" t="s">
        <v>151</v>
      </c>
      <c r="H10" s="17" t="s">
        <v>152</v>
      </c>
      <c r="I10" s="6">
        <v>45653.4638888889</v>
      </c>
      <c r="J10" s="6">
        <v>45671.5868055556</v>
      </c>
      <c r="K10" s="2" t="s">
        <v>101</v>
      </c>
      <c r="L10" s="6" t="s">
        <v>1</v>
      </c>
      <c r="M10" s="2" t="s">
        <v>1</v>
      </c>
      <c r="N10" s="2" t="s">
        <v>159</v>
      </c>
      <c r="O10" s="16" t="s">
        <v>160</v>
      </c>
      <c r="P10" s="2" t="s">
        <v>104</v>
      </c>
      <c r="Q10" s="5">
        <v>610</v>
      </c>
      <c r="R10" s="5">
        <v>50</v>
      </c>
      <c r="S10" s="5">
        <v>20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3</v>
      </c>
      <c r="AC10" s="5">
        <v>0</v>
      </c>
      <c r="AD10" s="5">
        <v>0</v>
      </c>
      <c r="AE10" s="5">
        <v>0</v>
      </c>
      <c r="AF10" s="5">
        <v>683</v>
      </c>
      <c r="AG10" s="2" t="s">
        <v>1</v>
      </c>
      <c r="AH10" s="2" t="s">
        <v>161</v>
      </c>
      <c r="AI10" s="2" t="s">
        <v>1</v>
      </c>
      <c r="AJ10" s="2" t="s">
        <v>162</v>
      </c>
      <c r="AK10" s="2" t="s">
        <v>1</v>
      </c>
      <c r="AL10" s="2" t="s">
        <v>1</v>
      </c>
    </row>
    <row r="11" ht="17.5" customHeight="1" spans="1:38">
      <c r="A11" s="2" t="s">
        <v>163</v>
      </c>
      <c r="B11" s="2" t="s">
        <v>121</v>
      </c>
      <c r="C11" s="2" t="s">
        <v>1</v>
      </c>
      <c r="D11" s="2" t="s">
        <v>148</v>
      </c>
      <c r="E11" s="2" t="s">
        <v>149</v>
      </c>
      <c r="F11" s="2" t="s">
        <v>150</v>
      </c>
      <c r="G11" s="15" t="s">
        <v>151</v>
      </c>
      <c r="H11" s="17" t="s">
        <v>152</v>
      </c>
      <c r="I11" s="6">
        <v>45653.4694444444</v>
      </c>
      <c r="J11" s="6">
        <v>45676.53125</v>
      </c>
      <c r="K11" s="2" t="s">
        <v>101</v>
      </c>
      <c r="L11" s="6" t="s">
        <v>1</v>
      </c>
      <c r="M11" s="2" t="s">
        <v>1</v>
      </c>
      <c r="N11" s="2" t="s">
        <v>164</v>
      </c>
      <c r="O11" s="16" t="s">
        <v>165</v>
      </c>
      <c r="P11" s="2" t="s">
        <v>104</v>
      </c>
      <c r="Q11" s="5">
        <v>980</v>
      </c>
      <c r="R11" s="5">
        <v>50</v>
      </c>
      <c r="S11" s="5">
        <v>20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1050</v>
      </c>
      <c r="AG11" s="2" t="s">
        <v>1</v>
      </c>
      <c r="AH11" s="2" t="s">
        <v>166</v>
      </c>
      <c r="AI11" s="2" t="s">
        <v>1</v>
      </c>
      <c r="AJ11" s="2" t="s">
        <v>167</v>
      </c>
      <c r="AK11" s="2" t="s">
        <v>1</v>
      </c>
      <c r="AL11" s="2" t="s">
        <v>1</v>
      </c>
    </row>
    <row r="12" ht="17.5" customHeight="1" spans="1:38">
      <c r="A12" s="2" t="s">
        <v>168</v>
      </c>
      <c r="B12" s="2" t="s">
        <v>121</v>
      </c>
      <c r="C12" s="2" t="s">
        <v>1</v>
      </c>
      <c r="D12" s="2" t="s">
        <v>148</v>
      </c>
      <c r="E12" s="2" t="s">
        <v>149</v>
      </c>
      <c r="F12" s="2" t="s">
        <v>150</v>
      </c>
      <c r="G12" s="15" t="s">
        <v>151</v>
      </c>
      <c r="H12" s="17" t="s">
        <v>152</v>
      </c>
      <c r="I12" s="6">
        <v>45653.4701388889</v>
      </c>
      <c r="J12" s="6">
        <v>45676.75</v>
      </c>
      <c r="K12" s="2" t="s">
        <v>101</v>
      </c>
      <c r="L12" s="6" t="s">
        <v>1</v>
      </c>
      <c r="M12" s="2" t="s">
        <v>1</v>
      </c>
      <c r="N12" s="2" t="s">
        <v>169</v>
      </c>
      <c r="O12" s="16" t="s">
        <v>170</v>
      </c>
      <c r="P12" s="2" t="s">
        <v>104</v>
      </c>
      <c r="Q12" s="5">
        <v>840</v>
      </c>
      <c r="R12" s="5">
        <v>50</v>
      </c>
      <c r="S12" s="5">
        <v>20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910</v>
      </c>
      <c r="AG12" s="2" t="s">
        <v>1</v>
      </c>
      <c r="AH12" s="2" t="s">
        <v>171</v>
      </c>
      <c r="AI12" s="2" t="s">
        <v>1</v>
      </c>
      <c r="AJ12" s="2" t="s">
        <v>172</v>
      </c>
      <c r="AK12" s="2" t="s">
        <v>1</v>
      </c>
      <c r="AL12" s="2" t="s">
        <v>1</v>
      </c>
    </row>
    <row r="13" ht="17.5" customHeight="1" spans="1:38">
      <c r="A13" s="2" t="s">
        <v>173</v>
      </c>
      <c r="B13" s="2" t="s">
        <v>121</v>
      </c>
      <c r="C13" s="2" t="s">
        <v>1</v>
      </c>
      <c r="D13" s="2" t="s">
        <v>174</v>
      </c>
      <c r="E13" s="2" t="s">
        <v>175</v>
      </c>
      <c r="F13" s="2" t="s">
        <v>175</v>
      </c>
      <c r="G13" s="15" t="str">
        <f>VLOOKUP(F13,'[1]202501入账'!$A:$G,5,0)</f>
        <v>中心负责人</v>
      </c>
      <c r="H13" s="15" t="str">
        <f>VLOOKUP(F13,'[1]202501入账'!$A:$G,6,0)</f>
        <v/>
      </c>
      <c r="I13" s="6">
        <v>45653.5715277778</v>
      </c>
      <c r="J13" s="6">
        <v>45654.375</v>
      </c>
      <c r="K13" s="2" t="s">
        <v>101</v>
      </c>
      <c r="L13" s="6" t="s">
        <v>1</v>
      </c>
      <c r="M13" s="2" t="s">
        <v>1</v>
      </c>
      <c r="N13" s="2" t="s">
        <v>176</v>
      </c>
      <c r="O13" s="16" t="s">
        <v>177</v>
      </c>
      <c r="P13" s="2" t="s">
        <v>104</v>
      </c>
      <c r="Q13" s="5">
        <v>1470</v>
      </c>
      <c r="R13" s="5">
        <v>50</v>
      </c>
      <c r="S13" s="5">
        <v>20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30</v>
      </c>
      <c r="AD13" s="5">
        <v>0</v>
      </c>
      <c r="AE13" s="5">
        <v>0</v>
      </c>
      <c r="AF13" s="5">
        <v>1570</v>
      </c>
      <c r="AG13" s="2" t="s">
        <v>1</v>
      </c>
      <c r="AH13" s="2" t="s">
        <v>178</v>
      </c>
      <c r="AI13" s="2" t="s">
        <v>1</v>
      </c>
      <c r="AJ13" s="2" t="s">
        <v>179</v>
      </c>
      <c r="AK13" s="2" t="s">
        <v>1</v>
      </c>
      <c r="AL13" s="2" t="s">
        <v>1</v>
      </c>
    </row>
    <row r="14" ht="17.5" customHeight="1" spans="1:38">
      <c r="A14" s="2" t="s">
        <v>180</v>
      </c>
      <c r="B14" s="2" t="s">
        <v>121</v>
      </c>
      <c r="C14" s="2" t="s">
        <v>1</v>
      </c>
      <c r="D14" s="2" t="s">
        <v>181</v>
      </c>
      <c r="E14" s="2" t="s">
        <v>182</v>
      </c>
      <c r="F14" s="2" t="s">
        <v>182</v>
      </c>
      <c r="G14" s="15" t="str">
        <f>VLOOKUP(F14,'[1]202501入账'!$A:$G,5,0)</f>
        <v>中心负责人</v>
      </c>
      <c r="H14" s="15" t="str">
        <f>VLOOKUP(F14,'[1]202501入账'!$A:$G,6,0)</f>
        <v/>
      </c>
      <c r="I14" s="6">
        <v>45653.5736111111</v>
      </c>
      <c r="J14" s="6">
        <v>45654.375</v>
      </c>
      <c r="K14" s="2" t="s">
        <v>101</v>
      </c>
      <c r="L14" s="6" t="s">
        <v>1</v>
      </c>
      <c r="M14" s="2" t="s">
        <v>1</v>
      </c>
      <c r="N14" s="2" t="s">
        <v>176</v>
      </c>
      <c r="O14" s="16" t="s">
        <v>177</v>
      </c>
      <c r="P14" s="2" t="s">
        <v>104</v>
      </c>
      <c r="Q14" s="5">
        <v>1470</v>
      </c>
      <c r="R14" s="5">
        <v>50</v>
      </c>
      <c r="S14" s="5">
        <v>20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30</v>
      </c>
      <c r="AD14" s="5">
        <v>0</v>
      </c>
      <c r="AE14" s="5">
        <v>0</v>
      </c>
      <c r="AF14" s="5">
        <v>1570</v>
      </c>
      <c r="AG14" s="2" t="s">
        <v>1</v>
      </c>
      <c r="AH14" s="2" t="s">
        <v>183</v>
      </c>
      <c r="AI14" s="2" t="s">
        <v>1</v>
      </c>
      <c r="AJ14" s="2" t="s">
        <v>184</v>
      </c>
      <c r="AK14" s="2" t="s">
        <v>1</v>
      </c>
      <c r="AL14" s="2" t="s">
        <v>1</v>
      </c>
    </row>
    <row r="15" ht="17.5" customHeight="1" spans="1:38">
      <c r="A15" s="2" t="s">
        <v>185</v>
      </c>
      <c r="B15" s="2" t="s">
        <v>121</v>
      </c>
      <c r="C15" s="2" t="s">
        <v>1</v>
      </c>
      <c r="D15" s="2" t="s">
        <v>186</v>
      </c>
      <c r="E15" s="2" t="s">
        <v>187</v>
      </c>
      <c r="F15" s="2" t="s">
        <v>187</v>
      </c>
      <c r="G15" s="15" t="str">
        <f>VLOOKUP(F15,'[1]202501入账'!$A:$G,5,0)</f>
        <v>数智平台中心</v>
      </c>
      <c r="H15" s="15" t="str">
        <f>VLOOKUP(F15,'[1]202501入账'!$A:$G,6,0)</f>
        <v>数智产品组</v>
      </c>
      <c r="I15" s="6">
        <v>45653.6</v>
      </c>
      <c r="J15" s="6">
        <v>45653.7673611111</v>
      </c>
      <c r="K15" s="2" t="s">
        <v>101</v>
      </c>
      <c r="L15" s="6" t="s">
        <v>1</v>
      </c>
      <c r="M15" s="2" t="s">
        <v>1</v>
      </c>
      <c r="N15" s="2" t="s">
        <v>136</v>
      </c>
      <c r="O15" s="16" t="s">
        <v>188</v>
      </c>
      <c r="P15" s="2" t="s">
        <v>104</v>
      </c>
      <c r="Q15" s="5">
        <v>1220</v>
      </c>
      <c r="R15" s="5">
        <v>50</v>
      </c>
      <c r="S15" s="5">
        <v>20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30</v>
      </c>
      <c r="AD15" s="5">
        <v>0</v>
      </c>
      <c r="AE15" s="5">
        <v>0</v>
      </c>
      <c r="AF15" s="5">
        <v>1320</v>
      </c>
      <c r="AG15" s="2" t="s">
        <v>1</v>
      </c>
      <c r="AH15" s="2" t="s">
        <v>189</v>
      </c>
      <c r="AI15" s="2" t="s">
        <v>1</v>
      </c>
      <c r="AJ15" s="2" t="s">
        <v>190</v>
      </c>
      <c r="AK15" s="2" t="s">
        <v>1</v>
      </c>
      <c r="AL15" s="2" t="s">
        <v>1</v>
      </c>
    </row>
    <row r="16" ht="17.5" customHeight="1" spans="1:38">
      <c r="A16" s="2" t="s">
        <v>191</v>
      </c>
      <c r="B16" s="2" t="s">
        <v>121</v>
      </c>
      <c r="C16" s="2" t="s">
        <v>1</v>
      </c>
      <c r="D16" s="2" t="s">
        <v>192</v>
      </c>
      <c r="E16" s="2" t="s">
        <v>193</v>
      </c>
      <c r="F16" s="2" t="s">
        <v>194</v>
      </c>
      <c r="G16" s="15" t="str">
        <f>VLOOKUP(F16,'[1]202501入账'!$A:$G,5,0)</f>
        <v>数智平台中心</v>
      </c>
      <c r="H16" s="15" t="str">
        <f>VLOOKUP(F16,'[1]202501入账'!$A:$G,6,0)</f>
        <v>数据仓库组</v>
      </c>
      <c r="I16" s="6">
        <v>45653.6</v>
      </c>
      <c r="J16" s="6">
        <v>45653.7673611111</v>
      </c>
      <c r="K16" s="2" t="s">
        <v>101</v>
      </c>
      <c r="L16" s="6" t="s">
        <v>1</v>
      </c>
      <c r="M16" s="2" t="s">
        <v>1</v>
      </c>
      <c r="N16" s="2" t="s">
        <v>136</v>
      </c>
      <c r="O16" s="16" t="s">
        <v>188</v>
      </c>
      <c r="P16" s="2" t="s">
        <v>104</v>
      </c>
      <c r="Q16" s="5">
        <v>1220</v>
      </c>
      <c r="R16" s="5">
        <v>50</v>
      </c>
      <c r="S16" s="5">
        <v>20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30</v>
      </c>
      <c r="AD16" s="5">
        <v>0</v>
      </c>
      <c r="AE16" s="5">
        <v>0</v>
      </c>
      <c r="AF16" s="5">
        <v>1320</v>
      </c>
      <c r="AG16" s="2" t="s">
        <v>1</v>
      </c>
      <c r="AH16" s="2" t="s">
        <v>195</v>
      </c>
      <c r="AI16" s="2" t="s">
        <v>1</v>
      </c>
      <c r="AJ16" s="2" t="s">
        <v>196</v>
      </c>
      <c r="AK16" s="2" t="s">
        <v>1</v>
      </c>
      <c r="AL16" s="2" t="s">
        <v>1</v>
      </c>
    </row>
    <row r="17" ht="17.5" customHeight="1" spans="1:38">
      <c r="A17" s="2" t="s">
        <v>197</v>
      </c>
      <c r="B17" s="2" t="s">
        <v>121</v>
      </c>
      <c r="C17" s="2" t="s">
        <v>1</v>
      </c>
      <c r="D17" s="2" t="s">
        <v>122</v>
      </c>
      <c r="E17" s="2" t="s">
        <v>123</v>
      </c>
      <c r="F17" s="2" t="s">
        <v>123</v>
      </c>
      <c r="G17" s="15" t="str">
        <f>VLOOKUP(F17,'[1]202501入账'!$A:$G,5,0)</f>
        <v>电商产品中心</v>
      </c>
      <c r="H17" s="15" t="str">
        <f>VLOOKUP(F17,'[1]202501入账'!$A:$G,6,0)</f>
        <v>电商产品组</v>
      </c>
      <c r="I17" s="6">
        <v>45653.6243055556</v>
      </c>
      <c r="J17" s="6">
        <v>45654.2708333333</v>
      </c>
      <c r="K17" s="2" t="s">
        <v>101</v>
      </c>
      <c r="L17" s="6" t="s">
        <v>1</v>
      </c>
      <c r="M17" s="2" t="s">
        <v>1</v>
      </c>
      <c r="N17" s="2" t="s">
        <v>136</v>
      </c>
      <c r="O17" s="16" t="s">
        <v>137</v>
      </c>
      <c r="P17" s="2" t="s">
        <v>104</v>
      </c>
      <c r="Q17" s="5">
        <v>650</v>
      </c>
      <c r="R17" s="5">
        <v>50</v>
      </c>
      <c r="S17" s="5">
        <v>20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30</v>
      </c>
      <c r="AD17" s="5">
        <v>0</v>
      </c>
      <c r="AE17" s="5">
        <v>0</v>
      </c>
      <c r="AF17" s="5">
        <v>750</v>
      </c>
      <c r="AG17" s="2" t="s">
        <v>1</v>
      </c>
      <c r="AH17" s="2" t="s">
        <v>198</v>
      </c>
      <c r="AI17" s="2" t="s">
        <v>1</v>
      </c>
      <c r="AJ17" s="2" t="s">
        <v>199</v>
      </c>
      <c r="AK17" s="2" t="s">
        <v>1</v>
      </c>
      <c r="AL17" s="2" t="s">
        <v>1</v>
      </c>
    </row>
    <row r="18" ht="17.5" customHeight="1" spans="1:38">
      <c r="A18" s="2" t="s">
        <v>200</v>
      </c>
      <c r="B18" s="2" t="s">
        <v>121</v>
      </c>
      <c r="C18" s="2" t="s">
        <v>1</v>
      </c>
      <c r="D18" s="2" t="s">
        <v>129</v>
      </c>
      <c r="E18" s="2" t="s">
        <v>130</v>
      </c>
      <c r="F18" s="2" t="s">
        <v>130</v>
      </c>
      <c r="G18" s="15" t="str">
        <f>VLOOKUP(F18,'[1]202501入账'!$A:$G,5,0)</f>
        <v>直播产品中心</v>
      </c>
      <c r="H18" s="15" t="str">
        <f>VLOOKUP(F18,'[1]202501入账'!$A:$G,6,0)</f>
        <v>后台二组</v>
      </c>
      <c r="I18" s="6">
        <v>45653.7479166667</v>
      </c>
      <c r="J18" s="6">
        <v>45654.2708333333</v>
      </c>
      <c r="K18" s="2" t="s">
        <v>101</v>
      </c>
      <c r="L18" s="6" t="s">
        <v>1</v>
      </c>
      <c r="M18" s="2" t="s">
        <v>1</v>
      </c>
      <c r="N18" s="2" t="s">
        <v>136</v>
      </c>
      <c r="O18" s="16" t="s">
        <v>137</v>
      </c>
      <c r="P18" s="2" t="s">
        <v>104</v>
      </c>
      <c r="Q18" s="5">
        <v>1220</v>
      </c>
      <c r="R18" s="5">
        <v>50</v>
      </c>
      <c r="S18" s="5">
        <v>20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1290</v>
      </c>
      <c r="AG18" s="2" t="s">
        <v>1</v>
      </c>
      <c r="AH18" s="2" t="s">
        <v>201</v>
      </c>
      <c r="AI18" s="2" t="s">
        <v>1</v>
      </c>
      <c r="AJ18" s="2" t="s">
        <v>202</v>
      </c>
      <c r="AK18" s="2" t="s">
        <v>1</v>
      </c>
      <c r="AL18" s="2" t="s">
        <v>1</v>
      </c>
    </row>
    <row r="19" ht="17.5" customHeight="1" spans="1:38">
      <c r="A19" s="2" t="s">
        <v>203</v>
      </c>
      <c r="B19" s="2" t="s">
        <v>112</v>
      </c>
      <c r="C19" s="2" t="s">
        <v>113</v>
      </c>
      <c r="D19" s="2" t="s">
        <v>114</v>
      </c>
      <c r="E19" s="2" t="s">
        <v>115</v>
      </c>
      <c r="F19" s="2" t="s">
        <v>115</v>
      </c>
      <c r="G19" s="15" t="str">
        <f>VLOOKUP(F19,'[1]202501入账'!$A:$G,5,0)</f>
        <v>中心负责人</v>
      </c>
      <c r="H19" s="15" t="str">
        <f>VLOOKUP(F19,'[1]202501入账'!$A:$G,6,0)</f>
        <v/>
      </c>
      <c r="I19" s="6">
        <v>45654.8777777778</v>
      </c>
      <c r="J19" s="6">
        <v>45655.6875</v>
      </c>
      <c r="K19" s="2" t="s">
        <v>101</v>
      </c>
      <c r="L19" s="6" t="s">
        <v>1</v>
      </c>
      <c r="M19" s="2" t="s">
        <v>1</v>
      </c>
      <c r="N19" s="2" t="s">
        <v>176</v>
      </c>
      <c r="O19" s="16" t="s">
        <v>204</v>
      </c>
      <c r="P19" s="2" t="s">
        <v>104</v>
      </c>
      <c r="Q19" s="5">
        <v>1590</v>
      </c>
      <c r="R19" s="5">
        <v>50</v>
      </c>
      <c r="S19" s="5">
        <v>20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3</v>
      </c>
      <c r="AC19" s="5">
        <v>30</v>
      </c>
      <c r="AD19" s="5">
        <v>0</v>
      </c>
      <c r="AE19" s="5">
        <v>0</v>
      </c>
      <c r="AF19" s="5">
        <v>1693</v>
      </c>
      <c r="AG19" s="2" t="s">
        <v>1</v>
      </c>
      <c r="AH19" s="2" t="s">
        <v>205</v>
      </c>
      <c r="AI19" s="2" t="s">
        <v>1</v>
      </c>
      <c r="AJ19" s="2" t="s">
        <v>206</v>
      </c>
      <c r="AK19" s="2" t="s">
        <v>1</v>
      </c>
      <c r="AL19" s="2" t="s">
        <v>1</v>
      </c>
    </row>
    <row r="20" ht="17.5" customHeight="1" spans="1:38">
      <c r="A20" s="2" t="s">
        <v>207</v>
      </c>
      <c r="B20" s="2" t="s">
        <v>121</v>
      </c>
      <c r="C20" s="2" t="s">
        <v>1</v>
      </c>
      <c r="D20" s="2" t="s">
        <v>208</v>
      </c>
      <c r="E20" s="2" t="s">
        <v>209</v>
      </c>
      <c r="F20" s="2" t="s">
        <v>209</v>
      </c>
      <c r="G20" s="15" t="str">
        <f>VLOOKUP(F20,'[1]202501入账'!$A:$G,5,0)</f>
        <v>学习产品中心</v>
      </c>
      <c r="H20" s="15" t="str">
        <f>VLOOKUP(F20,'[1]202501入账'!$A:$G,6,0)</f>
        <v/>
      </c>
      <c r="I20" s="6">
        <v>45656.5909722222</v>
      </c>
      <c r="J20" s="6">
        <v>45656.75</v>
      </c>
      <c r="K20" s="2" t="s">
        <v>101</v>
      </c>
      <c r="L20" s="6" t="s">
        <v>1</v>
      </c>
      <c r="M20" s="2" t="s">
        <v>1</v>
      </c>
      <c r="N20" s="2" t="s">
        <v>116</v>
      </c>
      <c r="O20" s="16" t="s">
        <v>210</v>
      </c>
      <c r="P20" s="2" t="s">
        <v>104</v>
      </c>
      <c r="Q20" s="5">
        <v>1520</v>
      </c>
      <c r="R20" s="5">
        <v>50</v>
      </c>
      <c r="S20" s="5">
        <v>20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1590</v>
      </c>
      <c r="AG20" s="2" t="s">
        <v>1</v>
      </c>
      <c r="AH20" s="2" t="s">
        <v>211</v>
      </c>
      <c r="AI20" s="2" t="s">
        <v>1</v>
      </c>
      <c r="AJ20" s="2" t="s">
        <v>212</v>
      </c>
      <c r="AK20" s="2" t="s">
        <v>1</v>
      </c>
      <c r="AL20" s="2" t="s">
        <v>1</v>
      </c>
    </row>
    <row r="21" ht="17.5" customHeight="1" spans="1:38">
      <c r="A21" s="2" t="s">
        <v>213</v>
      </c>
      <c r="B21" s="2" t="s">
        <v>121</v>
      </c>
      <c r="C21" s="2" t="s">
        <v>1</v>
      </c>
      <c r="D21" s="2" t="s">
        <v>214</v>
      </c>
      <c r="E21" s="2" t="s">
        <v>215</v>
      </c>
      <c r="F21" s="2" t="s">
        <v>215</v>
      </c>
      <c r="G21" s="15" t="str">
        <f>VLOOKUP(F21,'[1]202501入账'!$A:$G,5,0)</f>
        <v>学习产品中心</v>
      </c>
      <c r="H21" s="15" t="str">
        <f>VLOOKUP(F21,'[1]202501入账'!$A:$G,6,0)</f>
        <v>学习产品组</v>
      </c>
      <c r="I21" s="6">
        <v>45656.5944444444</v>
      </c>
      <c r="J21" s="6">
        <v>45656.75</v>
      </c>
      <c r="K21" s="2" t="s">
        <v>101</v>
      </c>
      <c r="L21" s="6" t="s">
        <v>1</v>
      </c>
      <c r="M21" s="2" t="s">
        <v>1</v>
      </c>
      <c r="N21" s="2" t="s">
        <v>116</v>
      </c>
      <c r="O21" s="16" t="s">
        <v>210</v>
      </c>
      <c r="P21" s="2" t="s">
        <v>104</v>
      </c>
      <c r="Q21" s="5">
        <v>1520</v>
      </c>
      <c r="R21" s="5">
        <v>50</v>
      </c>
      <c r="S21" s="5">
        <v>20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1590</v>
      </c>
      <c r="AG21" s="2" t="s">
        <v>1</v>
      </c>
      <c r="AH21" s="2" t="s">
        <v>216</v>
      </c>
      <c r="AI21" s="2" t="s">
        <v>1</v>
      </c>
      <c r="AJ21" s="2" t="s">
        <v>217</v>
      </c>
      <c r="AK21" s="2" t="s">
        <v>1</v>
      </c>
      <c r="AL21" s="2" t="s">
        <v>1</v>
      </c>
    </row>
    <row r="22" ht="17.5" customHeight="1" spans="1:38">
      <c r="A22" s="2" t="s">
        <v>218</v>
      </c>
      <c r="B22" s="2" t="s">
        <v>121</v>
      </c>
      <c r="C22" s="2" t="s">
        <v>1</v>
      </c>
      <c r="D22" s="2" t="s">
        <v>219</v>
      </c>
      <c r="E22" s="2" t="s">
        <v>220</v>
      </c>
      <c r="F22" s="2" t="s">
        <v>220</v>
      </c>
      <c r="G22" s="15" t="str">
        <f>VLOOKUP(F22,'[1]202501入账'!$A:$G,5,0)</f>
        <v>自营销售中心</v>
      </c>
      <c r="H22" s="15" t="str">
        <f>VLOOKUP(F22,'[1]202501入账'!$A:$G,6,0)</f>
        <v>短剧组</v>
      </c>
      <c r="I22" s="6">
        <v>45656.6076388889</v>
      </c>
      <c r="J22" s="6">
        <v>45663.4722222222</v>
      </c>
      <c r="K22" s="2" t="s">
        <v>101</v>
      </c>
      <c r="L22" s="6" t="s">
        <v>1</v>
      </c>
      <c r="M22" s="2" t="s">
        <v>1</v>
      </c>
      <c r="N22" s="2" t="s">
        <v>221</v>
      </c>
      <c r="O22" s="16" t="s">
        <v>222</v>
      </c>
      <c r="P22" s="2" t="s">
        <v>104</v>
      </c>
      <c r="Q22" s="5">
        <v>550</v>
      </c>
      <c r="R22" s="5">
        <v>50</v>
      </c>
      <c r="S22" s="5">
        <v>20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30</v>
      </c>
      <c r="AD22" s="5">
        <v>0</v>
      </c>
      <c r="AE22" s="5">
        <v>0</v>
      </c>
      <c r="AF22" s="5">
        <v>650</v>
      </c>
      <c r="AG22" s="2" t="s">
        <v>1</v>
      </c>
      <c r="AH22" s="2" t="s">
        <v>223</v>
      </c>
      <c r="AI22" s="2" t="s">
        <v>1</v>
      </c>
      <c r="AJ22" s="2" t="s">
        <v>224</v>
      </c>
      <c r="AK22" s="2" t="s">
        <v>1</v>
      </c>
      <c r="AL22" s="2" t="s">
        <v>1</v>
      </c>
    </row>
    <row r="23" ht="17.5" customHeight="1" spans="1:38">
      <c r="A23" s="2" t="s">
        <v>225</v>
      </c>
      <c r="B23" s="2" t="s">
        <v>121</v>
      </c>
      <c r="C23" s="2" t="s">
        <v>1</v>
      </c>
      <c r="D23" s="2" t="s">
        <v>226</v>
      </c>
      <c r="E23" s="2" t="s">
        <v>227</v>
      </c>
      <c r="F23" s="2" t="s">
        <v>227</v>
      </c>
      <c r="G23" s="15" t="str">
        <f>VLOOKUP(F23,'[1]202501入账'!$A:$G,5,0)</f>
        <v>自营销售中心</v>
      </c>
      <c r="H23" s="15" t="str">
        <f>VLOOKUP(F23,'[1]202501入账'!$A:$G,6,0)</f>
        <v/>
      </c>
      <c r="I23" s="6">
        <v>45656.6097222222</v>
      </c>
      <c r="J23" s="6">
        <v>45663.4722222222</v>
      </c>
      <c r="K23" s="2" t="s">
        <v>101</v>
      </c>
      <c r="L23" s="6" t="s">
        <v>1</v>
      </c>
      <c r="M23" s="2" t="s">
        <v>1</v>
      </c>
      <c r="N23" s="2" t="s">
        <v>221</v>
      </c>
      <c r="O23" s="16" t="s">
        <v>222</v>
      </c>
      <c r="P23" s="2" t="s">
        <v>104</v>
      </c>
      <c r="Q23" s="5">
        <v>600</v>
      </c>
      <c r="R23" s="5">
        <v>50</v>
      </c>
      <c r="S23" s="5">
        <v>20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30</v>
      </c>
      <c r="AD23" s="5">
        <v>0</v>
      </c>
      <c r="AE23" s="5">
        <v>0</v>
      </c>
      <c r="AF23" s="5">
        <v>700</v>
      </c>
      <c r="AG23" s="2" t="s">
        <v>1</v>
      </c>
      <c r="AH23" s="2" t="s">
        <v>228</v>
      </c>
      <c r="AI23" s="2" t="s">
        <v>1</v>
      </c>
      <c r="AJ23" s="2" t="s">
        <v>229</v>
      </c>
      <c r="AK23" s="2" t="s">
        <v>1</v>
      </c>
      <c r="AL23" s="2" t="s">
        <v>1</v>
      </c>
    </row>
    <row r="24" ht="17.5" customHeight="1" spans="1:38">
      <c r="A24" s="2" t="s">
        <v>230</v>
      </c>
      <c r="B24" s="2" t="s">
        <v>121</v>
      </c>
      <c r="C24" s="2" t="s">
        <v>1</v>
      </c>
      <c r="D24" s="2" t="s">
        <v>231</v>
      </c>
      <c r="E24" s="2" t="s">
        <v>232</v>
      </c>
      <c r="F24" s="2" t="s">
        <v>232</v>
      </c>
      <c r="G24" s="15" t="str">
        <f>VLOOKUP(F24,'[1]202501入账'!$A:$G,5,0)</f>
        <v>电商产品中心</v>
      </c>
      <c r="H24" s="15" t="str">
        <f>VLOOKUP(F24,'[1]202501入账'!$A:$G,6,0)</f>
        <v>电商产品组</v>
      </c>
      <c r="I24" s="6">
        <v>45656.7736111111</v>
      </c>
      <c r="J24" s="6">
        <v>45657.3020833333</v>
      </c>
      <c r="K24" s="2" t="s">
        <v>101</v>
      </c>
      <c r="L24" s="6" t="s">
        <v>1</v>
      </c>
      <c r="M24" s="2" t="s">
        <v>1</v>
      </c>
      <c r="N24" s="2" t="s">
        <v>233</v>
      </c>
      <c r="O24" s="16" t="s">
        <v>234</v>
      </c>
      <c r="P24" s="2" t="s">
        <v>104</v>
      </c>
      <c r="Q24" s="5">
        <v>570</v>
      </c>
      <c r="R24" s="5">
        <v>50</v>
      </c>
      <c r="S24" s="5">
        <v>20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30</v>
      </c>
      <c r="AD24" s="5">
        <v>0</v>
      </c>
      <c r="AE24" s="5">
        <v>0</v>
      </c>
      <c r="AF24" s="5">
        <v>670</v>
      </c>
      <c r="AG24" s="2" t="s">
        <v>1</v>
      </c>
      <c r="AH24" s="2" t="s">
        <v>235</v>
      </c>
      <c r="AI24" s="2" t="s">
        <v>1</v>
      </c>
      <c r="AJ24" s="2" t="s">
        <v>236</v>
      </c>
      <c r="AK24" s="2" t="s">
        <v>1</v>
      </c>
      <c r="AL24" s="2" t="s">
        <v>1</v>
      </c>
    </row>
    <row r="25" ht="17.5" customHeight="1" spans="1:38">
      <c r="A25" s="2" t="s">
        <v>237</v>
      </c>
      <c r="B25" s="2" t="s">
        <v>121</v>
      </c>
      <c r="C25" s="2" t="s">
        <v>1</v>
      </c>
      <c r="D25" s="2" t="s">
        <v>238</v>
      </c>
      <c r="E25" s="2" t="s">
        <v>239</v>
      </c>
      <c r="F25" s="2" t="s">
        <v>239</v>
      </c>
      <c r="G25" s="15" t="str">
        <f>VLOOKUP(F25,'[1]202501入账'!$A:$G,5,0)</f>
        <v>运营支持中心</v>
      </c>
      <c r="H25" s="15" t="str">
        <f>VLOOKUP(F25,'[1]202501入账'!$A:$G,6,0)</f>
        <v>新零售服务二组</v>
      </c>
      <c r="I25" s="6">
        <v>45656.7895833333</v>
      </c>
      <c r="J25" s="6">
        <v>45657.3020833333</v>
      </c>
      <c r="K25" s="2" t="s">
        <v>101</v>
      </c>
      <c r="L25" s="6" t="s">
        <v>1</v>
      </c>
      <c r="M25" s="2" t="s">
        <v>1</v>
      </c>
      <c r="N25" s="2" t="s">
        <v>233</v>
      </c>
      <c r="O25" s="16" t="s">
        <v>234</v>
      </c>
      <c r="P25" s="2" t="s">
        <v>104</v>
      </c>
      <c r="Q25" s="5">
        <v>570</v>
      </c>
      <c r="R25" s="5">
        <v>50</v>
      </c>
      <c r="S25" s="5">
        <v>20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30</v>
      </c>
      <c r="AD25" s="5">
        <v>0</v>
      </c>
      <c r="AE25" s="5">
        <v>0</v>
      </c>
      <c r="AF25" s="5">
        <v>670</v>
      </c>
      <c r="AG25" s="2" t="s">
        <v>1</v>
      </c>
      <c r="AH25" s="2" t="s">
        <v>240</v>
      </c>
      <c r="AI25" s="2" t="s">
        <v>1</v>
      </c>
      <c r="AJ25" s="2" t="s">
        <v>241</v>
      </c>
      <c r="AK25" s="2" t="s">
        <v>1</v>
      </c>
      <c r="AL25" s="2" t="s">
        <v>1</v>
      </c>
    </row>
    <row r="26" ht="17.5" customHeight="1" spans="1:38">
      <c r="A26" s="2" t="s">
        <v>242</v>
      </c>
      <c r="B26" s="2" t="s">
        <v>121</v>
      </c>
      <c r="C26" s="2" t="s">
        <v>158</v>
      </c>
      <c r="D26" s="2" t="s">
        <v>243</v>
      </c>
      <c r="E26" s="2" t="s">
        <v>244</v>
      </c>
      <c r="F26" s="2" t="s">
        <v>244</v>
      </c>
      <c r="G26" s="15" t="str">
        <f>VLOOKUP(F26,'[1]202501入账'!$A:$G,5,0)</f>
        <v>KA销售中心</v>
      </c>
      <c r="H26" s="15" t="str">
        <f>VLOOKUP(F26,'[1]202501入账'!$A:$G,6,0)</f>
        <v>渠道合作组-西南区</v>
      </c>
      <c r="I26" s="18">
        <v>45656.8506944444</v>
      </c>
      <c r="J26" s="18">
        <v>45658.6875</v>
      </c>
      <c r="K26" s="2" t="s">
        <v>101</v>
      </c>
      <c r="L26" s="6">
        <v>45659.6875</v>
      </c>
      <c r="M26" s="2" t="s">
        <v>245</v>
      </c>
      <c r="N26" s="2" t="s">
        <v>246</v>
      </c>
      <c r="O26" s="16" t="s">
        <v>245</v>
      </c>
      <c r="P26" s="2" t="s">
        <v>104</v>
      </c>
      <c r="Q26" s="5">
        <v>400</v>
      </c>
      <c r="R26" s="5">
        <v>50</v>
      </c>
      <c r="S26" s="5">
        <v>20</v>
      </c>
      <c r="T26" s="5">
        <v>0</v>
      </c>
      <c r="U26" s="5">
        <v>0</v>
      </c>
      <c r="V26" s="5">
        <v>0</v>
      </c>
      <c r="W26" s="19">
        <v>350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820</v>
      </c>
      <c r="AG26" s="2" t="s">
        <v>1</v>
      </c>
      <c r="AH26" s="2" t="s">
        <v>247</v>
      </c>
      <c r="AI26" s="2" t="s">
        <v>248</v>
      </c>
      <c r="AJ26" s="2" t="s">
        <v>249</v>
      </c>
      <c r="AK26" s="2" t="s">
        <v>250</v>
      </c>
      <c r="AL26" s="2" t="s">
        <v>158</v>
      </c>
    </row>
    <row r="27" ht="17.5" customHeight="1" spans="1:38">
      <c r="A27" s="2" t="s">
        <v>251</v>
      </c>
      <c r="B27" s="2" t="s">
        <v>121</v>
      </c>
      <c r="C27" s="2" t="s">
        <v>1</v>
      </c>
      <c r="D27" s="2" t="s">
        <v>214</v>
      </c>
      <c r="E27" s="2" t="s">
        <v>215</v>
      </c>
      <c r="F27" s="2" t="s">
        <v>215</v>
      </c>
      <c r="G27" s="15" t="str">
        <f>VLOOKUP(F27,'[1]202501入账'!$A:$G,5,0)</f>
        <v>学习产品中心</v>
      </c>
      <c r="H27" s="15" t="str">
        <f>VLOOKUP(F27,'[1]202501入账'!$A:$G,6,0)</f>
        <v>学习产品组</v>
      </c>
      <c r="I27" s="6">
        <v>45656.9381944444</v>
      </c>
      <c r="J27" s="6">
        <v>45658.7083333333</v>
      </c>
      <c r="K27" s="2" t="s">
        <v>101</v>
      </c>
      <c r="L27" s="6" t="s">
        <v>1</v>
      </c>
      <c r="M27" s="2" t="s">
        <v>1</v>
      </c>
      <c r="N27" s="2" t="s">
        <v>176</v>
      </c>
      <c r="O27" s="16" t="s">
        <v>252</v>
      </c>
      <c r="P27" s="2" t="s">
        <v>104</v>
      </c>
      <c r="Q27" s="5">
        <v>730</v>
      </c>
      <c r="R27" s="5">
        <v>50</v>
      </c>
      <c r="S27" s="5">
        <v>20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800</v>
      </c>
      <c r="AG27" s="2" t="s">
        <v>1</v>
      </c>
      <c r="AH27" s="2" t="s">
        <v>253</v>
      </c>
      <c r="AI27" s="2" t="s">
        <v>1</v>
      </c>
      <c r="AJ27" s="2" t="s">
        <v>254</v>
      </c>
      <c r="AK27" s="2" t="s">
        <v>1</v>
      </c>
      <c r="AL27" s="2" t="s">
        <v>1</v>
      </c>
    </row>
    <row r="28" ht="17.5" customHeight="1" spans="1:38">
      <c r="A28" s="2" t="s">
        <v>255</v>
      </c>
      <c r="B28" s="2" t="s">
        <v>256</v>
      </c>
      <c r="C28" s="2" t="s">
        <v>1</v>
      </c>
      <c r="D28" s="2" t="s">
        <v>99</v>
      </c>
      <c r="E28" s="2" t="s">
        <v>100</v>
      </c>
      <c r="F28" s="4" t="s">
        <v>100</v>
      </c>
      <c r="G28" s="15" t="str">
        <f>VLOOKUP(F28,'[1]202501入账'!$A:$G,5,0)</f>
        <v>中心负责人</v>
      </c>
      <c r="H28" s="15" t="str">
        <f>VLOOKUP(F28,'[1]202501入账'!$A:$G,6,0)</f>
        <v/>
      </c>
      <c r="I28" s="6">
        <v>45657.6416666667</v>
      </c>
      <c r="J28" s="6">
        <v>45659.3541666667</v>
      </c>
      <c r="K28" s="2" t="s">
        <v>101</v>
      </c>
      <c r="L28" s="6" t="s">
        <v>1</v>
      </c>
      <c r="M28" s="2" t="s">
        <v>1</v>
      </c>
      <c r="N28" s="2" t="s">
        <v>257</v>
      </c>
      <c r="O28" s="2" t="s">
        <v>258</v>
      </c>
      <c r="P28" s="2" t="s">
        <v>104</v>
      </c>
      <c r="Q28" s="5">
        <v>1490</v>
      </c>
      <c r="R28" s="5">
        <v>50</v>
      </c>
      <c r="S28" s="5">
        <v>20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1560</v>
      </c>
      <c r="AG28" s="4" t="s">
        <v>259</v>
      </c>
      <c r="AH28" s="2" t="s">
        <v>260</v>
      </c>
      <c r="AI28" s="2" t="s">
        <v>1</v>
      </c>
      <c r="AJ28" s="2" t="s">
        <v>1</v>
      </c>
      <c r="AK28" s="2" t="s">
        <v>1</v>
      </c>
      <c r="AL28" s="2" t="s">
        <v>1</v>
      </c>
    </row>
    <row r="29" ht="17.5" customHeight="1" spans="1:38">
      <c r="A29" s="2" t="s">
        <v>255</v>
      </c>
      <c r="B29" s="2" t="s">
        <v>256</v>
      </c>
      <c r="C29" s="2" t="s">
        <v>1</v>
      </c>
      <c r="D29" s="2" t="s">
        <v>99</v>
      </c>
      <c r="E29" s="2" t="s">
        <v>100</v>
      </c>
      <c r="F29" s="2" t="s">
        <v>100</v>
      </c>
      <c r="G29" s="15" t="str">
        <f>VLOOKUP(F29,'[1]202501入账'!$A:$G,5,0)</f>
        <v>中心负责人</v>
      </c>
      <c r="H29" s="15" t="str">
        <f>VLOOKUP(F29,'[1]202501入账'!$A:$G,6,0)</f>
        <v/>
      </c>
      <c r="I29" s="6">
        <v>45657.6416666667</v>
      </c>
      <c r="J29" s="6">
        <v>45659.8333333333</v>
      </c>
      <c r="K29" s="2" t="s">
        <v>101</v>
      </c>
      <c r="L29" s="6" t="s">
        <v>1</v>
      </c>
      <c r="M29" s="2" t="s">
        <v>1</v>
      </c>
      <c r="N29" s="2" t="s">
        <v>261</v>
      </c>
      <c r="O29" s="2" t="s">
        <v>262</v>
      </c>
      <c r="P29" s="2" t="s">
        <v>104</v>
      </c>
      <c r="Q29" s="5">
        <v>520</v>
      </c>
      <c r="R29" s="5">
        <v>50</v>
      </c>
      <c r="S29" s="5">
        <v>20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590</v>
      </c>
      <c r="AG29" s="4" t="s">
        <v>259</v>
      </c>
      <c r="AH29" s="2" t="s">
        <v>260</v>
      </c>
      <c r="AI29" s="2" t="s">
        <v>1</v>
      </c>
      <c r="AJ29" s="2" t="s">
        <v>1</v>
      </c>
      <c r="AK29" s="2" t="s">
        <v>1</v>
      </c>
      <c r="AL29" s="2" t="s">
        <v>1</v>
      </c>
    </row>
    <row r="30" ht="17.5" customHeight="1" spans="1:38">
      <c r="A30" s="2" t="s">
        <v>263</v>
      </c>
      <c r="B30" s="2" t="s">
        <v>121</v>
      </c>
      <c r="C30" s="2" t="s">
        <v>158</v>
      </c>
      <c r="D30" s="2" t="s">
        <v>208</v>
      </c>
      <c r="E30" s="2" t="s">
        <v>209</v>
      </c>
      <c r="F30" s="2" t="s">
        <v>209</v>
      </c>
      <c r="G30" s="15" t="str">
        <f>VLOOKUP(F30,'[1]202501入账'!$A:$G,5,0)</f>
        <v>学习产品中心</v>
      </c>
      <c r="H30" s="15" t="str">
        <f>VLOOKUP(F30,'[1]202501入账'!$A:$G,6,0)</f>
        <v/>
      </c>
      <c r="I30" s="6">
        <v>45657.8472222222</v>
      </c>
      <c r="J30" s="6">
        <v>45658.5</v>
      </c>
      <c r="K30" s="2" t="s">
        <v>101</v>
      </c>
      <c r="L30" s="6" t="s">
        <v>1</v>
      </c>
      <c r="M30" s="2" t="s">
        <v>1</v>
      </c>
      <c r="N30" s="2" t="s">
        <v>176</v>
      </c>
      <c r="O30" s="16" t="s">
        <v>264</v>
      </c>
      <c r="P30" s="2" t="s">
        <v>104</v>
      </c>
      <c r="Q30" s="5">
        <v>1250</v>
      </c>
      <c r="R30" s="5">
        <v>50</v>
      </c>
      <c r="S30" s="5">
        <v>20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1320</v>
      </c>
      <c r="AG30" s="2" t="s">
        <v>1</v>
      </c>
      <c r="AH30" s="2" t="s">
        <v>265</v>
      </c>
      <c r="AI30" s="2" t="s">
        <v>1</v>
      </c>
      <c r="AJ30" s="2" t="s">
        <v>266</v>
      </c>
      <c r="AK30" s="2" t="s">
        <v>1</v>
      </c>
      <c r="AL30" s="2" t="s">
        <v>1</v>
      </c>
    </row>
    <row r="31" ht="17.5" customHeight="1" spans="1:38">
      <c r="A31" s="2" t="s">
        <v>267</v>
      </c>
      <c r="B31" s="2" t="s">
        <v>121</v>
      </c>
      <c r="C31" s="2" t="s">
        <v>1</v>
      </c>
      <c r="D31" s="2" t="s">
        <v>122</v>
      </c>
      <c r="E31" s="2" t="s">
        <v>123</v>
      </c>
      <c r="F31" s="2" t="s">
        <v>123</v>
      </c>
      <c r="G31" s="15" t="str">
        <f>VLOOKUP(F31,'[1]202501入账'!$A:$G,5,0)</f>
        <v>电商产品中心</v>
      </c>
      <c r="H31" s="15" t="str">
        <f>VLOOKUP(F31,'[1]202501入账'!$A:$G,6,0)</f>
        <v>电商产品组</v>
      </c>
      <c r="I31" s="6">
        <v>45658.0201388889</v>
      </c>
      <c r="J31" s="6">
        <v>45659.3020833333</v>
      </c>
      <c r="K31" s="2" t="s">
        <v>101</v>
      </c>
      <c r="L31" s="6" t="s">
        <v>1</v>
      </c>
      <c r="M31" s="2" t="s">
        <v>1</v>
      </c>
      <c r="N31" s="2" t="s">
        <v>233</v>
      </c>
      <c r="O31" s="16" t="s">
        <v>234</v>
      </c>
      <c r="P31" s="2" t="s">
        <v>104</v>
      </c>
      <c r="Q31" s="5">
        <v>570</v>
      </c>
      <c r="R31" s="5">
        <v>50</v>
      </c>
      <c r="S31" s="5">
        <v>20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640</v>
      </c>
      <c r="AG31" s="2" t="s">
        <v>1</v>
      </c>
      <c r="AH31" s="2" t="s">
        <v>268</v>
      </c>
      <c r="AI31" s="2" t="s">
        <v>1</v>
      </c>
      <c r="AJ31" s="2" t="s">
        <v>269</v>
      </c>
      <c r="AK31" s="2" t="s">
        <v>1</v>
      </c>
      <c r="AL31" s="2" t="s">
        <v>1</v>
      </c>
    </row>
    <row r="32" ht="17.5" customHeight="1" spans="1:38">
      <c r="A32" s="2" t="s">
        <v>270</v>
      </c>
      <c r="B32" s="2" t="s">
        <v>121</v>
      </c>
      <c r="C32" s="2" t="s">
        <v>1</v>
      </c>
      <c r="D32" s="2" t="s">
        <v>271</v>
      </c>
      <c r="E32" s="2" t="s">
        <v>272</v>
      </c>
      <c r="F32" s="2" t="s">
        <v>272</v>
      </c>
      <c r="G32" s="15" t="str">
        <f>VLOOKUP(F32,'[1]202501入账'!$A:$G,5,0)</f>
        <v>KA销售中心</v>
      </c>
      <c r="H32" s="15" t="str">
        <f>VLOOKUP(F32,'[1]202501入账'!$A:$G,6,0)</f>
        <v>渠道合作组-华南区</v>
      </c>
      <c r="I32" s="6">
        <v>45658.5319444444</v>
      </c>
      <c r="J32" s="6">
        <v>45659.8020833333</v>
      </c>
      <c r="K32" s="2" t="s">
        <v>101</v>
      </c>
      <c r="L32" s="6" t="s">
        <v>1</v>
      </c>
      <c r="M32" s="2" t="s">
        <v>1</v>
      </c>
      <c r="N32" s="2" t="s">
        <v>116</v>
      </c>
      <c r="O32" s="16" t="s">
        <v>273</v>
      </c>
      <c r="P32" s="2" t="s">
        <v>104</v>
      </c>
      <c r="Q32" s="5">
        <v>930</v>
      </c>
      <c r="R32" s="5">
        <v>50</v>
      </c>
      <c r="S32" s="5">
        <v>20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1000</v>
      </c>
      <c r="AG32" s="2" t="s">
        <v>1</v>
      </c>
      <c r="AH32" s="2" t="s">
        <v>274</v>
      </c>
      <c r="AI32" s="2" t="s">
        <v>1</v>
      </c>
      <c r="AJ32" s="2" t="s">
        <v>275</v>
      </c>
      <c r="AK32" s="2" t="s">
        <v>1</v>
      </c>
      <c r="AL32" s="2" t="s">
        <v>1</v>
      </c>
    </row>
    <row r="33" ht="17.5" customHeight="1" spans="1:38">
      <c r="A33" s="2" t="s">
        <v>276</v>
      </c>
      <c r="B33" s="2" t="s">
        <v>121</v>
      </c>
      <c r="C33" s="2" t="s">
        <v>1</v>
      </c>
      <c r="D33" s="2" t="s">
        <v>238</v>
      </c>
      <c r="E33" s="2" t="s">
        <v>239</v>
      </c>
      <c r="F33" s="2" t="s">
        <v>239</v>
      </c>
      <c r="G33" s="15" t="str">
        <f>VLOOKUP(F33,'[1]202501入账'!$A:$G,5,0)</f>
        <v>运营支持中心</v>
      </c>
      <c r="H33" s="15" t="str">
        <f>VLOOKUP(F33,'[1]202501入账'!$A:$G,6,0)</f>
        <v>新零售服务二组</v>
      </c>
      <c r="I33" s="6">
        <v>45658.6722222222</v>
      </c>
      <c r="J33" s="6">
        <v>45658.9340277778</v>
      </c>
      <c r="K33" s="2" t="s">
        <v>101</v>
      </c>
      <c r="L33" s="6" t="s">
        <v>1</v>
      </c>
      <c r="M33" s="2" t="s">
        <v>1</v>
      </c>
      <c r="N33" s="2" t="s">
        <v>277</v>
      </c>
      <c r="O33" s="16" t="s">
        <v>278</v>
      </c>
      <c r="P33" s="2" t="s">
        <v>104</v>
      </c>
      <c r="Q33" s="5">
        <v>490</v>
      </c>
      <c r="R33" s="5">
        <v>50</v>
      </c>
      <c r="S33" s="5">
        <v>20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560</v>
      </c>
      <c r="AG33" s="2" t="s">
        <v>1</v>
      </c>
      <c r="AH33" s="2" t="s">
        <v>279</v>
      </c>
      <c r="AI33" s="2" t="s">
        <v>1</v>
      </c>
      <c r="AJ33" s="2" t="s">
        <v>280</v>
      </c>
      <c r="AK33" s="2" t="s">
        <v>1</v>
      </c>
      <c r="AL33" s="2" t="s">
        <v>1</v>
      </c>
    </row>
    <row r="34" ht="17.5" customHeight="1" spans="1:38">
      <c r="A34" s="2" t="s">
        <v>281</v>
      </c>
      <c r="B34" s="2" t="s">
        <v>112</v>
      </c>
      <c r="C34" s="2" t="s">
        <v>158</v>
      </c>
      <c r="D34" s="2" t="s">
        <v>282</v>
      </c>
      <c r="E34" s="2" t="s">
        <v>283</v>
      </c>
      <c r="F34" s="2" t="s">
        <v>283</v>
      </c>
      <c r="G34" s="15" t="str">
        <f>VLOOKUP(F34,'[1]202501入账'!$A:$G,5,0)</f>
        <v>KA销售中心</v>
      </c>
      <c r="H34" s="15" t="str">
        <f>VLOOKUP(F34,'[1]202501入账'!$A:$G,6,0)</f>
        <v>渠道合作组-华北区</v>
      </c>
      <c r="I34" s="6">
        <v>45659.7076388889</v>
      </c>
      <c r="J34" s="6">
        <v>45661.4895833333</v>
      </c>
      <c r="K34" s="2" t="s">
        <v>101</v>
      </c>
      <c r="L34" s="6" t="s">
        <v>1</v>
      </c>
      <c r="M34" s="2" t="s">
        <v>1</v>
      </c>
      <c r="N34" s="2" t="s">
        <v>284</v>
      </c>
      <c r="O34" s="16" t="s">
        <v>285</v>
      </c>
      <c r="P34" s="2" t="s">
        <v>104</v>
      </c>
      <c r="Q34" s="5">
        <v>418</v>
      </c>
      <c r="R34" s="5">
        <v>50</v>
      </c>
      <c r="S34" s="5">
        <v>20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3</v>
      </c>
      <c r="AC34" s="5">
        <v>0</v>
      </c>
      <c r="AD34" s="5">
        <v>0</v>
      </c>
      <c r="AE34" s="5">
        <v>0</v>
      </c>
      <c r="AF34" s="5">
        <v>491</v>
      </c>
      <c r="AG34" s="2" t="s">
        <v>1</v>
      </c>
      <c r="AH34" s="2" t="s">
        <v>286</v>
      </c>
      <c r="AI34" s="2" t="s">
        <v>1</v>
      </c>
      <c r="AJ34" s="2" t="s">
        <v>287</v>
      </c>
      <c r="AK34" s="2" t="s">
        <v>1</v>
      </c>
      <c r="AL34" s="2" t="s">
        <v>1</v>
      </c>
    </row>
    <row r="35" ht="17.5" customHeight="1" spans="1:38">
      <c r="A35" s="2" t="s">
        <v>288</v>
      </c>
      <c r="B35" s="2" t="s">
        <v>121</v>
      </c>
      <c r="C35" s="2" t="s">
        <v>1</v>
      </c>
      <c r="D35" s="2" t="s">
        <v>122</v>
      </c>
      <c r="E35" s="2" t="s">
        <v>123</v>
      </c>
      <c r="F35" s="2" t="s">
        <v>123</v>
      </c>
      <c r="G35" s="15" t="str">
        <f>VLOOKUP(F35,'[1]202501入账'!$A:$G,5,0)</f>
        <v>电商产品中心</v>
      </c>
      <c r="H35" s="15" t="str">
        <f>VLOOKUP(F35,'[1]202501入账'!$A:$G,6,0)</f>
        <v>电商产品组</v>
      </c>
      <c r="I35" s="6">
        <v>45659.7145833333</v>
      </c>
      <c r="J35" s="6">
        <v>45660.4548611111</v>
      </c>
      <c r="K35" s="2" t="s">
        <v>101</v>
      </c>
      <c r="L35" s="6" t="s">
        <v>1</v>
      </c>
      <c r="M35" s="2" t="s">
        <v>1</v>
      </c>
      <c r="N35" s="2" t="s">
        <v>277</v>
      </c>
      <c r="O35" s="16" t="s">
        <v>289</v>
      </c>
      <c r="P35" s="2" t="s">
        <v>104</v>
      </c>
      <c r="Q35" s="5">
        <v>810</v>
      </c>
      <c r="R35" s="5">
        <v>50</v>
      </c>
      <c r="S35" s="5">
        <v>20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880</v>
      </c>
      <c r="AG35" s="2" t="s">
        <v>1</v>
      </c>
      <c r="AH35" s="2" t="s">
        <v>290</v>
      </c>
      <c r="AI35" s="2" t="s">
        <v>1</v>
      </c>
      <c r="AJ35" s="2" t="s">
        <v>291</v>
      </c>
      <c r="AK35" s="2" t="s">
        <v>1</v>
      </c>
      <c r="AL35" s="2" t="s">
        <v>1</v>
      </c>
    </row>
    <row r="36" ht="17.5" customHeight="1" spans="1:38">
      <c r="A36" s="2" t="s">
        <v>292</v>
      </c>
      <c r="B36" s="2" t="s">
        <v>121</v>
      </c>
      <c r="C36" s="2" t="s">
        <v>1</v>
      </c>
      <c r="D36" s="2" t="s">
        <v>231</v>
      </c>
      <c r="E36" s="2" t="s">
        <v>232</v>
      </c>
      <c r="F36" s="2" t="s">
        <v>232</v>
      </c>
      <c r="G36" s="15" t="str">
        <f>VLOOKUP(F36,'[1]202501入账'!$A:$G,5,0)</f>
        <v>电商产品中心</v>
      </c>
      <c r="H36" s="15" t="str">
        <f>VLOOKUP(F36,'[1]202501入账'!$A:$G,6,0)</f>
        <v>电商产品组</v>
      </c>
      <c r="I36" s="6">
        <v>45659.7145833333</v>
      </c>
      <c r="J36" s="6">
        <v>45660.4548611111</v>
      </c>
      <c r="K36" s="2" t="s">
        <v>101</v>
      </c>
      <c r="L36" s="6" t="s">
        <v>1</v>
      </c>
      <c r="M36" s="2" t="s">
        <v>1</v>
      </c>
      <c r="N36" s="2" t="s">
        <v>277</v>
      </c>
      <c r="O36" s="16" t="s">
        <v>289</v>
      </c>
      <c r="P36" s="2" t="s">
        <v>104</v>
      </c>
      <c r="Q36" s="5">
        <v>810</v>
      </c>
      <c r="R36" s="5">
        <v>50</v>
      </c>
      <c r="S36" s="5">
        <v>20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30</v>
      </c>
      <c r="AD36" s="5">
        <v>0</v>
      </c>
      <c r="AE36" s="5">
        <v>0</v>
      </c>
      <c r="AF36" s="5">
        <v>910</v>
      </c>
      <c r="AG36" s="2" t="s">
        <v>1</v>
      </c>
      <c r="AH36" s="2" t="s">
        <v>293</v>
      </c>
      <c r="AI36" s="2" t="s">
        <v>1</v>
      </c>
      <c r="AJ36" s="2" t="s">
        <v>294</v>
      </c>
      <c r="AK36" s="2" t="s">
        <v>1</v>
      </c>
      <c r="AL36" s="2" t="s">
        <v>1</v>
      </c>
    </row>
    <row r="37" ht="17.5" customHeight="1" spans="1:38">
      <c r="A37" s="2" t="s">
        <v>295</v>
      </c>
      <c r="B37" s="2" t="s">
        <v>121</v>
      </c>
      <c r="C37" s="2" t="s">
        <v>158</v>
      </c>
      <c r="D37" s="2" t="s">
        <v>296</v>
      </c>
      <c r="E37" s="2" t="s">
        <v>297</v>
      </c>
      <c r="F37" s="2" t="s">
        <v>298</v>
      </c>
      <c r="G37" s="15" t="str">
        <f>VLOOKUP(F37,'[1]202501入账'!$A:$G,5,0)</f>
        <v>中心负责人</v>
      </c>
      <c r="H37" s="15" t="str">
        <f>VLOOKUP(F37,'[1]202501入账'!$A:$G,6,0)</f>
        <v/>
      </c>
      <c r="I37" s="6">
        <v>45659.7680555556</v>
      </c>
      <c r="J37" s="6">
        <v>45664.8993055556</v>
      </c>
      <c r="K37" s="2" t="s">
        <v>101</v>
      </c>
      <c r="L37" s="6" t="s">
        <v>1</v>
      </c>
      <c r="M37" s="2" t="s">
        <v>1</v>
      </c>
      <c r="N37" s="2" t="s">
        <v>299</v>
      </c>
      <c r="O37" s="16" t="s">
        <v>300</v>
      </c>
      <c r="P37" s="2" t="s">
        <v>104</v>
      </c>
      <c r="Q37" s="5">
        <v>350</v>
      </c>
      <c r="R37" s="5">
        <v>50</v>
      </c>
      <c r="S37" s="5">
        <v>20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3</v>
      </c>
      <c r="AC37" s="5">
        <v>0</v>
      </c>
      <c r="AD37" s="5">
        <v>0</v>
      </c>
      <c r="AE37" s="5">
        <v>0</v>
      </c>
      <c r="AF37" s="5">
        <v>423</v>
      </c>
      <c r="AG37" s="2" t="s">
        <v>1</v>
      </c>
      <c r="AH37" s="2" t="s">
        <v>301</v>
      </c>
      <c r="AI37" s="2" t="s">
        <v>1</v>
      </c>
      <c r="AJ37" s="2" t="s">
        <v>302</v>
      </c>
      <c r="AK37" s="2" t="s">
        <v>1</v>
      </c>
      <c r="AL37" s="2" t="s">
        <v>1</v>
      </c>
    </row>
    <row r="38" ht="17.5" customHeight="1" spans="1:38">
      <c r="A38" s="8" t="s">
        <v>303</v>
      </c>
      <c r="B38" s="8" t="s">
        <v>98</v>
      </c>
      <c r="C38" s="8" t="s">
        <v>1</v>
      </c>
      <c r="D38" s="8" t="s">
        <v>304</v>
      </c>
      <c r="E38" s="8" t="s">
        <v>298</v>
      </c>
      <c r="F38" s="8" t="s">
        <v>298</v>
      </c>
      <c r="G38" s="15" t="str">
        <f>VLOOKUP(F38,'[1]202501入账'!$A:$G,5,0)</f>
        <v>中心负责人</v>
      </c>
      <c r="H38" s="15" t="str">
        <f>VLOOKUP(F38,'[1]202501入账'!$A:$G,6,0)</f>
        <v/>
      </c>
      <c r="I38" s="10">
        <v>45660.2958333333</v>
      </c>
      <c r="J38" s="10">
        <v>45667.4166666667</v>
      </c>
      <c r="K38" s="8" t="s">
        <v>101</v>
      </c>
      <c r="L38" s="10" t="s">
        <v>1</v>
      </c>
      <c r="M38" s="8" t="s">
        <v>1</v>
      </c>
      <c r="N38" s="8" t="s">
        <v>164</v>
      </c>
      <c r="O38" s="8" t="s">
        <v>305</v>
      </c>
      <c r="P38" s="8" t="s">
        <v>104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30</v>
      </c>
      <c r="AD38" s="12">
        <v>0</v>
      </c>
      <c r="AE38" s="12">
        <v>0</v>
      </c>
      <c r="AF38" s="12">
        <v>30</v>
      </c>
      <c r="AG38" s="8" t="s">
        <v>306</v>
      </c>
      <c r="AH38" s="8" t="s">
        <v>307</v>
      </c>
      <c r="AI38" s="8" t="s">
        <v>1</v>
      </c>
      <c r="AJ38" s="8" t="s">
        <v>1</v>
      </c>
      <c r="AK38" s="8" t="s">
        <v>1</v>
      </c>
      <c r="AL38" s="8" t="s">
        <v>1</v>
      </c>
    </row>
    <row r="39" ht="17.5" customHeight="1" spans="1:38">
      <c r="A39" s="2" t="s">
        <v>308</v>
      </c>
      <c r="B39" s="2" t="s">
        <v>121</v>
      </c>
      <c r="C39" s="2" t="s">
        <v>1</v>
      </c>
      <c r="D39" s="2" t="s">
        <v>304</v>
      </c>
      <c r="E39" s="2" t="s">
        <v>298</v>
      </c>
      <c r="F39" s="2" t="s">
        <v>298</v>
      </c>
      <c r="G39" s="15" t="str">
        <f>VLOOKUP(F39,'[1]202501入账'!$A:$G,5,0)</f>
        <v>中心负责人</v>
      </c>
      <c r="H39" s="15" t="str">
        <f>VLOOKUP(F39,'[1]202501入账'!$A:$G,6,0)</f>
        <v/>
      </c>
      <c r="I39" s="6">
        <v>45660.3083333333</v>
      </c>
      <c r="J39" s="6">
        <v>45673.875</v>
      </c>
      <c r="K39" s="2" t="s">
        <v>101</v>
      </c>
      <c r="L39" s="6" t="s">
        <v>1</v>
      </c>
      <c r="M39" s="2" t="s">
        <v>1</v>
      </c>
      <c r="N39" s="2" t="s">
        <v>116</v>
      </c>
      <c r="O39" s="16" t="s">
        <v>309</v>
      </c>
      <c r="P39" s="2" t="s">
        <v>104</v>
      </c>
      <c r="Q39" s="5">
        <v>1120</v>
      </c>
      <c r="R39" s="5">
        <v>50</v>
      </c>
      <c r="S39" s="5">
        <v>20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1190</v>
      </c>
      <c r="AG39" s="2" t="s">
        <v>1</v>
      </c>
      <c r="AH39" s="2" t="s">
        <v>310</v>
      </c>
      <c r="AI39" s="2" t="s">
        <v>1</v>
      </c>
      <c r="AJ39" s="2" t="s">
        <v>311</v>
      </c>
      <c r="AK39" s="2" t="s">
        <v>1</v>
      </c>
      <c r="AL39" s="2" t="s">
        <v>1</v>
      </c>
    </row>
    <row r="40" ht="17.5" customHeight="1" spans="1:38">
      <c r="A40" s="2" t="s">
        <v>312</v>
      </c>
      <c r="B40" s="2" t="s">
        <v>121</v>
      </c>
      <c r="C40" s="2" t="s">
        <v>1</v>
      </c>
      <c r="D40" s="2" t="s">
        <v>313</v>
      </c>
      <c r="E40" s="2" t="s">
        <v>314</v>
      </c>
      <c r="F40" s="2" t="s">
        <v>314</v>
      </c>
      <c r="G40" s="15" t="str">
        <f>VLOOKUP(F40,'[1]202501入账'!$A:$G,5,0)</f>
        <v>KA销售中心</v>
      </c>
      <c r="H40" s="15" t="str">
        <f>VLOOKUP(F40,'[1]202501入账'!$A:$G,6,0)</f>
        <v>KA销售组</v>
      </c>
      <c r="I40" s="6">
        <v>45660.3569444444</v>
      </c>
      <c r="J40" s="6">
        <v>45670.5833333333</v>
      </c>
      <c r="K40" s="2" t="s">
        <v>101</v>
      </c>
      <c r="L40" s="6" t="s">
        <v>1</v>
      </c>
      <c r="M40" s="2" t="s">
        <v>1</v>
      </c>
      <c r="N40" s="2" t="s">
        <v>176</v>
      </c>
      <c r="O40" s="16" t="s">
        <v>315</v>
      </c>
      <c r="P40" s="2" t="s">
        <v>104</v>
      </c>
      <c r="Q40" s="5">
        <v>1000</v>
      </c>
      <c r="R40" s="5">
        <v>50</v>
      </c>
      <c r="S40" s="5">
        <v>20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30</v>
      </c>
      <c r="AD40" s="5">
        <v>0</v>
      </c>
      <c r="AE40" s="5">
        <v>0</v>
      </c>
      <c r="AF40" s="5">
        <v>1100</v>
      </c>
      <c r="AG40" s="2" t="s">
        <v>1</v>
      </c>
      <c r="AH40" s="2" t="s">
        <v>316</v>
      </c>
      <c r="AI40" s="2" t="s">
        <v>1</v>
      </c>
      <c r="AJ40" s="2" t="s">
        <v>317</v>
      </c>
      <c r="AK40" s="2" t="s">
        <v>1</v>
      </c>
      <c r="AL40" s="2" t="s">
        <v>1</v>
      </c>
    </row>
    <row r="41" ht="17.5" customHeight="1" spans="1:38">
      <c r="A41" s="2" t="s">
        <v>318</v>
      </c>
      <c r="B41" s="2" t="s">
        <v>121</v>
      </c>
      <c r="C41" s="2" t="s">
        <v>1</v>
      </c>
      <c r="D41" s="2" t="s">
        <v>243</v>
      </c>
      <c r="E41" s="2" t="s">
        <v>244</v>
      </c>
      <c r="F41" s="2" t="s">
        <v>244</v>
      </c>
      <c r="G41" s="15" t="str">
        <f>VLOOKUP(F41,'[1]202501入账'!$A:$G,5,0)</f>
        <v>KA销售中心</v>
      </c>
      <c r="H41" s="15" t="str">
        <f>VLOOKUP(F41,'[1]202501入账'!$A:$G,6,0)</f>
        <v>渠道合作组-西南区</v>
      </c>
      <c r="I41" s="6">
        <v>45660.4847222222</v>
      </c>
      <c r="J41" s="6">
        <v>45670.5833333333</v>
      </c>
      <c r="K41" s="2" t="s">
        <v>101</v>
      </c>
      <c r="L41" s="6" t="s">
        <v>1</v>
      </c>
      <c r="M41" s="2" t="s">
        <v>1</v>
      </c>
      <c r="N41" s="2" t="s">
        <v>176</v>
      </c>
      <c r="O41" s="16" t="s">
        <v>315</v>
      </c>
      <c r="P41" s="2" t="s">
        <v>104</v>
      </c>
      <c r="Q41" s="5">
        <v>1000</v>
      </c>
      <c r="R41" s="5">
        <v>50</v>
      </c>
      <c r="S41" s="5">
        <v>20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30</v>
      </c>
      <c r="AD41" s="5">
        <v>0</v>
      </c>
      <c r="AE41" s="5">
        <v>0</v>
      </c>
      <c r="AF41" s="5">
        <v>1100</v>
      </c>
      <c r="AG41" s="2" t="s">
        <v>1</v>
      </c>
      <c r="AH41" s="2" t="s">
        <v>319</v>
      </c>
      <c r="AI41" s="2" t="s">
        <v>1</v>
      </c>
      <c r="AJ41" s="2" t="s">
        <v>320</v>
      </c>
      <c r="AK41" s="2" t="s">
        <v>1</v>
      </c>
      <c r="AL41" s="2" t="s">
        <v>1</v>
      </c>
    </row>
    <row r="42" ht="17.5" customHeight="1" spans="1:38">
      <c r="A42" s="2" t="s">
        <v>321</v>
      </c>
      <c r="B42" s="2" t="s">
        <v>121</v>
      </c>
      <c r="C42" s="2" t="s">
        <v>158</v>
      </c>
      <c r="D42" s="2" t="s">
        <v>322</v>
      </c>
      <c r="E42" s="2" t="s">
        <v>323</v>
      </c>
      <c r="F42" s="2" t="s">
        <v>323</v>
      </c>
      <c r="G42" s="15" t="str">
        <f>VLOOKUP(F42,'[1]202501入账'!$A:$G,5,0)</f>
        <v>KA销售中心</v>
      </c>
      <c r="H42" s="15" t="str">
        <f>VLOOKUP(F42,'[1]202501入账'!$A:$G,6,0)</f>
        <v>渠道服务支持组</v>
      </c>
      <c r="I42" s="6">
        <v>45660.4868055556</v>
      </c>
      <c r="J42" s="6">
        <v>45670.5416666667</v>
      </c>
      <c r="K42" s="2" t="s">
        <v>101</v>
      </c>
      <c r="L42" s="6" t="s">
        <v>1</v>
      </c>
      <c r="M42" s="2" t="s">
        <v>1</v>
      </c>
      <c r="N42" s="2" t="s">
        <v>176</v>
      </c>
      <c r="O42" s="16" t="s">
        <v>324</v>
      </c>
      <c r="P42" s="2" t="s">
        <v>104</v>
      </c>
      <c r="Q42" s="5">
        <v>1327</v>
      </c>
      <c r="R42" s="5">
        <v>50</v>
      </c>
      <c r="S42" s="5">
        <v>20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3</v>
      </c>
      <c r="AC42" s="5">
        <v>30</v>
      </c>
      <c r="AD42" s="5">
        <v>0</v>
      </c>
      <c r="AE42" s="5">
        <v>0</v>
      </c>
      <c r="AF42" s="5">
        <v>1430</v>
      </c>
      <c r="AG42" s="2" t="s">
        <v>1</v>
      </c>
      <c r="AH42" s="2" t="s">
        <v>325</v>
      </c>
      <c r="AI42" s="2" t="s">
        <v>1</v>
      </c>
      <c r="AJ42" s="2" t="s">
        <v>326</v>
      </c>
      <c r="AK42" s="2" t="s">
        <v>1</v>
      </c>
      <c r="AL42" s="2" t="s">
        <v>1</v>
      </c>
    </row>
    <row r="43" ht="17.5" customHeight="1" spans="1:38">
      <c r="A43" s="2" t="s">
        <v>327</v>
      </c>
      <c r="B43" s="2" t="s">
        <v>121</v>
      </c>
      <c r="C43" s="2" t="s">
        <v>158</v>
      </c>
      <c r="D43" s="2" t="s">
        <v>328</v>
      </c>
      <c r="E43" s="2" t="s">
        <v>329</v>
      </c>
      <c r="F43" s="2" t="s">
        <v>329</v>
      </c>
      <c r="G43" s="15" t="str">
        <f>VLOOKUP(F43,'[1]202501入账'!$A:$G,5,0)</f>
        <v>KA销售中心</v>
      </c>
      <c r="H43" s="15" t="str">
        <f>VLOOKUP(F43,'[1]202501入账'!$A:$G,6,0)</f>
        <v>渠道合作组-华北区</v>
      </c>
      <c r="I43" s="6">
        <v>45660.4868055556</v>
      </c>
      <c r="J43" s="6">
        <v>45670.5416666667</v>
      </c>
      <c r="K43" s="2" t="s">
        <v>101</v>
      </c>
      <c r="L43" s="6" t="s">
        <v>1</v>
      </c>
      <c r="M43" s="2" t="s">
        <v>1</v>
      </c>
      <c r="N43" s="2" t="s">
        <v>176</v>
      </c>
      <c r="O43" s="16" t="s">
        <v>324</v>
      </c>
      <c r="P43" s="2" t="s">
        <v>104</v>
      </c>
      <c r="Q43" s="5">
        <v>1327</v>
      </c>
      <c r="R43" s="5">
        <v>50</v>
      </c>
      <c r="S43" s="5">
        <v>20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3</v>
      </c>
      <c r="AC43" s="5">
        <v>30</v>
      </c>
      <c r="AD43" s="5">
        <v>0</v>
      </c>
      <c r="AE43" s="5">
        <v>0</v>
      </c>
      <c r="AF43" s="5">
        <v>1430</v>
      </c>
      <c r="AG43" s="2" t="s">
        <v>1</v>
      </c>
      <c r="AH43" s="2" t="s">
        <v>330</v>
      </c>
      <c r="AI43" s="2" t="s">
        <v>1</v>
      </c>
      <c r="AJ43" s="2" t="s">
        <v>331</v>
      </c>
      <c r="AK43" s="2" t="s">
        <v>1</v>
      </c>
      <c r="AL43" s="2" t="s">
        <v>1</v>
      </c>
    </row>
    <row r="44" ht="17.5" customHeight="1" spans="1:38">
      <c r="A44" s="2" t="s">
        <v>332</v>
      </c>
      <c r="B44" s="2" t="s">
        <v>121</v>
      </c>
      <c r="C44" s="2" t="s">
        <v>1</v>
      </c>
      <c r="D44" s="2" t="s">
        <v>313</v>
      </c>
      <c r="E44" s="2" t="s">
        <v>314</v>
      </c>
      <c r="F44" s="2" t="s">
        <v>314</v>
      </c>
      <c r="G44" s="15" t="str">
        <f>VLOOKUP(F44,'[1]202501入账'!$A:$G,5,0)</f>
        <v>KA销售中心</v>
      </c>
      <c r="H44" s="15" t="str">
        <f>VLOOKUP(F44,'[1]202501入账'!$A:$G,6,0)</f>
        <v>KA销售组</v>
      </c>
      <c r="I44" s="6">
        <v>45660.4902777778</v>
      </c>
      <c r="J44" s="6">
        <v>45673.8020833333</v>
      </c>
      <c r="K44" s="2" t="s">
        <v>101</v>
      </c>
      <c r="L44" s="6" t="s">
        <v>1</v>
      </c>
      <c r="M44" s="2" t="s">
        <v>1</v>
      </c>
      <c r="N44" s="2" t="s">
        <v>116</v>
      </c>
      <c r="O44" s="16" t="s">
        <v>273</v>
      </c>
      <c r="P44" s="2" t="s">
        <v>104</v>
      </c>
      <c r="Q44" s="5">
        <v>1390</v>
      </c>
      <c r="R44" s="5">
        <v>50</v>
      </c>
      <c r="S44" s="5">
        <v>20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30</v>
      </c>
      <c r="AD44" s="5">
        <v>0</v>
      </c>
      <c r="AE44" s="5">
        <v>0</v>
      </c>
      <c r="AF44" s="5">
        <v>1490</v>
      </c>
      <c r="AG44" s="2" t="s">
        <v>1</v>
      </c>
      <c r="AH44" s="2" t="s">
        <v>333</v>
      </c>
      <c r="AI44" s="2" t="s">
        <v>1</v>
      </c>
      <c r="AJ44" s="2" t="s">
        <v>334</v>
      </c>
      <c r="AK44" s="2" t="s">
        <v>1</v>
      </c>
      <c r="AL44" s="2" t="s">
        <v>1</v>
      </c>
    </row>
    <row r="45" ht="17.5" customHeight="1" spans="1:38">
      <c r="A45" s="2" t="s">
        <v>335</v>
      </c>
      <c r="B45" s="2" t="s">
        <v>121</v>
      </c>
      <c r="C45" s="2" t="s">
        <v>1</v>
      </c>
      <c r="D45" s="2" t="s">
        <v>322</v>
      </c>
      <c r="E45" s="2" t="s">
        <v>323</v>
      </c>
      <c r="F45" s="2" t="s">
        <v>323</v>
      </c>
      <c r="G45" s="15" t="str">
        <f>VLOOKUP(F45,'[1]202501入账'!$A:$G,5,0)</f>
        <v>KA销售中心</v>
      </c>
      <c r="H45" s="15" t="str">
        <f>VLOOKUP(F45,'[1]202501入账'!$A:$G,6,0)</f>
        <v>渠道服务支持组</v>
      </c>
      <c r="I45" s="6">
        <v>45660.4923611111</v>
      </c>
      <c r="J45" s="6">
        <v>45673.8020833333</v>
      </c>
      <c r="K45" s="2" t="s">
        <v>101</v>
      </c>
      <c r="L45" s="6" t="s">
        <v>1</v>
      </c>
      <c r="M45" s="2" t="s">
        <v>1</v>
      </c>
      <c r="N45" s="2" t="s">
        <v>116</v>
      </c>
      <c r="O45" s="16" t="s">
        <v>273</v>
      </c>
      <c r="P45" s="2" t="s">
        <v>104</v>
      </c>
      <c r="Q45" s="5">
        <v>1390</v>
      </c>
      <c r="R45" s="5">
        <v>50</v>
      </c>
      <c r="S45" s="5">
        <v>20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1460</v>
      </c>
      <c r="AG45" s="2" t="s">
        <v>1</v>
      </c>
      <c r="AH45" s="2" t="s">
        <v>336</v>
      </c>
      <c r="AI45" s="2" t="s">
        <v>1</v>
      </c>
      <c r="AJ45" s="2" t="s">
        <v>337</v>
      </c>
      <c r="AK45" s="2" t="s">
        <v>1</v>
      </c>
      <c r="AL45" s="2" t="s">
        <v>1</v>
      </c>
    </row>
    <row r="46" ht="17.5" customHeight="1" spans="1:38">
      <c r="A46" s="2" t="s">
        <v>338</v>
      </c>
      <c r="B46" s="2" t="s">
        <v>121</v>
      </c>
      <c r="C46" s="2" t="s">
        <v>1</v>
      </c>
      <c r="D46" s="2" t="s">
        <v>328</v>
      </c>
      <c r="E46" s="2" t="s">
        <v>329</v>
      </c>
      <c r="F46" s="2" t="s">
        <v>329</v>
      </c>
      <c r="G46" s="15" t="str">
        <f>VLOOKUP(F46,'[1]202501入账'!$A:$G,5,0)</f>
        <v>KA销售中心</v>
      </c>
      <c r="H46" s="15" t="str">
        <f>VLOOKUP(F46,'[1]202501入账'!$A:$G,6,0)</f>
        <v>渠道合作组-华北区</v>
      </c>
      <c r="I46" s="6">
        <v>45660.4930555556</v>
      </c>
      <c r="J46" s="6">
        <v>45673.8020833333</v>
      </c>
      <c r="K46" s="2" t="s">
        <v>101</v>
      </c>
      <c r="L46" s="6" t="s">
        <v>1</v>
      </c>
      <c r="M46" s="2" t="s">
        <v>1</v>
      </c>
      <c r="N46" s="2" t="s">
        <v>116</v>
      </c>
      <c r="O46" s="16" t="s">
        <v>273</v>
      </c>
      <c r="P46" s="2" t="s">
        <v>104</v>
      </c>
      <c r="Q46" s="5">
        <v>1390</v>
      </c>
      <c r="R46" s="5">
        <v>50</v>
      </c>
      <c r="S46" s="5">
        <v>20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30</v>
      </c>
      <c r="AD46" s="5">
        <v>0</v>
      </c>
      <c r="AE46" s="5">
        <v>0</v>
      </c>
      <c r="AF46" s="5">
        <v>1490</v>
      </c>
      <c r="AG46" s="2" t="s">
        <v>1</v>
      </c>
      <c r="AH46" s="2" t="s">
        <v>339</v>
      </c>
      <c r="AI46" s="2" t="s">
        <v>1</v>
      </c>
      <c r="AJ46" s="2" t="s">
        <v>340</v>
      </c>
      <c r="AK46" s="2" t="s">
        <v>1</v>
      </c>
      <c r="AL46" s="2" t="s">
        <v>1</v>
      </c>
    </row>
    <row r="47" ht="17.5" customHeight="1" spans="1:38">
      <c r="A47" s="2" t="s">
        <v>341</v>
      </c>
      <c r="B47" s="2" t="s">
        <v>121</v>
      </c>
      <c r="C47" s="2" t="s">
        <v>1</v>
      </c>
      <c r="D47" s="2" t="s">
        <v>99</v>
      </c>
      <c r="E47" s="2" t="s">
        <v>100</v>
      </c>
      <c r="F47" s="2" t="s">
        <v>100</v>
      </c>
      <c r="G47" s="15" t="str">
        <f>VLOOKUP(F47,'[1]202501入账'!$A:$G,5,0)</f>
        <v>中心负责人</v>
      </c>
      <c r="H47" s="15" t="str">
        <f>VLOOKUP(F47,'[1]202501入账'!$A:$G,6,0)</f>
        <v/>
      </c>
      <c r="I47" s="6">
        <v>45661.4833333333</v>
      </c>
      <c r="J47" s="6">
        <v>45663.8125</v>
      </c>
      <c r="K47" s="2" t="s">
        <v>101</v>
      </c>
      <c r="L47" s="6" t="s">
        <v>1</v>
      </c>
      <c r="M47" s="2" t="s">
        <v>1</v>
      </c>
      <c r="N47" s="2" t="s">
        <v>176</v>
      </c>
      <c r="O47" s="16" t="s">
        <v>342</v>
      </c>
      <c r="P47" s="2" t="s">
        <v>104</v>
      </c>
      <c r="Q47" s="5">
        <v>620</v>
      </c>
      <c r="R47" s="5">
        <v>50</v>
      </c>
      <c r="S47" s="5">
        <v>20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690</v>
      </c>
      <c r="AG47" s="2" t="s">
        <v>1</v>
      </c>
      <c r="AH47" s="2" t="s">
        <v>343</v>
      </c>
      <c r="AI47" s="2" t="s">
        <v>1</v>
      </c>
      <c r="AJ47" s="2" t="s">
        <v>344</v>
      </c>
      <c r="AK47" s="2" t="s">
        <v>1</v>
      </c>
      <c r="AL47" s="2" t="s">
        <v>1</v>
      </c>
    </row>
    <row r="48" ht="17.5" customHeight="1" spans="1:38">
      <c r="A48" s="2" t="s">
        <v>341</v>
      </c>
      <c r="B48" s="2" t="s">
        <v>121</v>
      </c>
      <c r="C48" s="2" t="s">
        <v>1</v>
      </c>
      <c r="D48" s="2" t="s">
        <v>99</v>
      </c>
      <c r="E48" s="2" t="s">
        <v>100</v>
      </c>
      <c r="F48" s="2" t="s">
        <v>100</v>
      </c>
      <c r="G48" s="15" t="str">
        <f>VLOOKUP(F48,'[1]202501入账'!$A:$G,5,0)</f>
        <v>中心负责人</v>
      </c>
      <c r="H48" s="15" t="str">
        <f>VLOOKUP(F48,'[1]202501入账'!$A:$G,6,0)</f>
        <v/>
      </c>
      <c r="I48" s="6">
        <v>45661.4833333333</v>
      </c>
      <c r="J48" s="6">
        <v>45674.3888888889</v>
      </c>
      <c r="K48" s="2" t="s">
        <v>101</v>
      </c>
      <c r="L48" s="6" t="s">
        <v>1</v>
      </c>
      <c r="M48" s="2" t="s">
        <v>1</v>
      </c>
      <c r="N48" s="2" t="s">
        <v>116</v>
      </c>
      <c r="O48" s="16" t="s">
        <v>345</v>
      </c>
      <c r="P48" s="2" t="s">
        <v>104</v>
      </c>
      <c r="Q48" s="5">
        <v>1610</v>
      </c>
      <c r="R48" s="5">
        <v>50</v>
      </c>
      <c r="S48" s="5">
        <v>20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1680</v>
      </c>
      <c r="AG48" s="2" t="s">
        <v>1</v>
      </c>
      <c r="AH48" s="2" t="s">
        <v>343</v>
      </c>
      <c r="AI48" s="2" t="s">
        <v>1</v>
      </c>
      <c r="AJ48" s="2" t="s">
        <v>344</v>
      </c>
      <c r="AK48" s="2" t="s">
        <v>1</v>
      </c>
      <c r="AL48" s="2" t="s">
        <v>1</v>
      </c>
    </row>
    <row r="49" ht="17.5" customHeight="1" spans="1:38">
      <c r="A49" s="2" t="s">
        <v>346</v>
      </c>
      <c r="B49" s="2" t="s">
        <v>121</v>
      </c>
      <c r="C49" s="2" t="s">
        <v>158</v>
      </c>
      <c r="D49" s="2" t="s">
        <v>192</v>
      </c>
      <c r="E49" s="2" t="s">
        <v>193</v>
      </c>
      <c r="F49" s="2" t="s">
        <v>193</v>
      </c>
      <c r="G49" s="15" t="str">
        <f>VLOOKUP(F49,'[1]202501入账'!$A:$G,5,0)</f>
        <v>运营支持中心</v>
      </c>
      <c r="H49" s="15" t="str">
        <f>VLOOKUP(F49,'[1]202501入账'!$A:$G,6,0)</f>
        <v>新零售服务一组</v>
      </c>
      <c r="I49" s="6">
        <v>45661.5201388889</v>
      </c>
      <c r="J49" s="6">
        <v>45662.3854166667</v>
      </c>
      <c r="K49" s="2" t="s">
        <v>101</v>
      </c>
      <c r="L49" s="6" t="s">
        <v>1</v>
      </c>
      <c r="M49" s="2" t="s">
        <v>1</v>
      </c>
      <c r="N49" s="2" t="s">
        <v>347</v>
      </c>
      <c r="O49" s="16" t="s">
        <v>348</v>
      </c>
      <c r="P49" s="2" t="s">
        <v>104</v>
      </c>
      <c r="Q49" s="5">
        <v>570</v>
      </c>
      <c r="R49" s="5">
        <v>50</v>
      </c>
      <c r="S49" s="5">
        <v>20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640</v>
      </c>
      <c r="AG49" s="2" t="s">
        <v>1</v>
      </c>
      <c r="AH49" s="2" t="s">
        <v>349</v>
      </c>
      <c r="AI49" s="2" t="s">
        <v>1</v>
      </c>
      <c r="AJ49" s="2" t="s">
        <v>350</v>
      </c>
      <c r="AK49" s="2" t="s">
        <v>1</v>
      </c>
      <c r="AL49" s="2" t="s">
        <v>1</v>
      </c>
    </row>
    <row r="50" ht="17.5" customHeight="1" spans="1:38">
      <c r="A50" s="2" t="s">
        <v>351</v>
      </c>
      <c r="B50" s="2" t="s">
        <v>121</v>
      </c>
      <c r="C50" s="2" t="s">
        <v>1</v>
      </c>
      <c r="D50" s="2" t="s">
        <v>352</v>
      </c>
      <c r="E50" s="2" t="s">
        <v>353</v>
      </c>
      <c r="F50" s="2" t="s">
        <v>353</v>
      </c>
      <c r="G50" s="15" t="str">
        <f>VLOOKUP(F50,'[1]202501入账'!$A:$G,5,0)</f>
        <v>KA销售中心</v>
      </c>
      <c r="H50" s="15" t="str">
        <f>VLOOKUP(F50,'[1]202501入账'!$A:$G,6,0)</f>
        <v>KA销售组</v>
      </c>
      <c r="I50" s="6">
        <v>45661.8590277778</v>
      </c>
      <c r="J50" s="6">
        <v>45671.4166666667</v>
      </c>
      <c r="K50" s="2" t="s">
        <v>101</v>
      </c>
      <c r="L50" s="6" t="s">
        <v>1</v>
      </c>
      <c r="M50" s="2" t="s">
        <v>1</v>
      </c>
      <c r="N50" s="2" t="s">
        <v>176</v>
      </c>
      <c r="O50" s="16" t="s">
        <v>354</v>
      </c>
      <c r="P50" s="2" t="s">
        <v>104</v>
      </c>
      <c r="Q50" s="5">
        <v>900</v>
      </c>
      <c r="R50" s="5">
        <v>50</v>
      </c>
      <c r="S50" s="5">
        <v>20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970</v>
      </c>
      <c r="AG50" s="2" t="s">
        <v>1</v>
      </c>
      <c r="AH50" s="2" t="s">
        <v>355</v>
      </c>
      <c r="AI50" s="2" t="s">
        <v>1</v>
      </c>
      <c r="AJ50" s="2" t="s">
        <v>356</v>
      </c>
      <c r="AK50" s="2" t="s">
        <v>1</v>
      </c>
      <c r="AL50" s="2" t="s">
        <v>1</v>
      </c>
    </row>
    <row r="51" ht="17.5" customHeight="1" spans="1:38">
      <c r="A51" s="2" t="s">
        <v>357</v>
      </c>
      <c r="B51" s="2" t="s">
        <v>121</v>
      </c>
      <c r="C51" s="2" t="s">
        <v>1</v>
      </c>
      <c r="D51" s="2" t="s">
        <v>352</v>
      </c>
      <c r="E51" s="2" t="s">
        <v>353</v>
      </c>
      <c r="F51" s="2" t="s">
        <v>353</v>
      </c>
      <c r="G51" s="15" t="str">
        <f>VLOOKUP(F51,'[1]202501入账'!$A:$G,5,0)</f>
        <v>KA销售中心</v>
      </c>
      <c r="H51" s="15" t="str">
        <f>VLOOKUP(F51,'[1]202501入账'!$A:$G,6,0)</f>
        <v>KA销售组</v>
      </c>
      <c r="I51" s="6">
        <v>45662.3909722222</v>
      </c>
      <c r="J51" s="6">
        <v>45673.8020833333</v>
      </c>
      <c r="K51" s="2" t="s">
        <v>101</v>
      </c>
      <c r="L51" s="6" t="s">
        <v>1</v>
      </c>
      <c r="M51" s="2" t="s">
        <v>1</v>
      </c>
      <c r="N51" s="2" t="s">
        <v>116</v>
      </c>
      <c r="O51" s="16" t="s">
        <v>273</v>
      </c>
      <c r="P51" s="2" t="s">
        <v>104</v>
      </c>
      <c r="Q51" s="5">
        <v>1110</v>
      </c>
      <c r="R51" s="5">
        <v>50</v>
      </c>
      <c r="S51" s="5">
        <v>20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1180</v>
      </c>
      <c r="AG51" s="2" t="s">
        <v>1</v>
      </c>
      <c r="AH51" s="2" t="s">
        <v>358</v>
      </c>
      <c r="AI51" s="2" t="s">
        <v>1</v>
      </c>
      <c r="AJ51" s="2" t="s">
        <v>359</v>
      </c>
      <c r="AK51" s="2" t="s">
        <v>1</v>
      </c>
      <c r="AL51" s="2" t="s">
        <v>1</v>
      </c>
    </row>
    <row r="52" ht="17.5" customHeight="1" spans="1:38">
      <c r="A52" s="2" t="s">
        <v>360</v>
      </c>
      <c r="B52" s="2" t="s">
        <v>121</v>
      </c>
      <c r="C52" s="2" t="s">
        <v>1</v>
      </c>
      <c r="D52" s="2" t="s">
        <v>282</v>
      </c>
      <c r="E52" s="2" t="s">
        <v>283</v>
      </c>
      <c r="F52" s="2" t="s">
        <v>283</v>
      </c>
      <c r="G52" s="15" t="str">
        <f>VLOOKUP(F52,'[1]202501入账'!$A:$G,5,0)</f>
        <v>KA销售中心</v>
      </c>
      <c r="H52" s="15" t="str">
        <f>VLOOKUP(F52,'[1]202501入账'!$A:$G,6,0)</f>
        <v>渠道合作组-华北区</v>
      </c>
      <c r="I52" s="6">
        <v>45662.69375</v>
      </c>
      <c r="J52" s="6">
        <v>45662.9027777778</v>
      </c>
      <c r="K52" s="2" t="s">
        <v>101</v>
      </c>
      <c r="L52" s="6" t="s">
        <v>1</v>
      </c>
      <c r="M52" s="2" t="s">
        <v>1</v>
      </c>
      <c r="N52" s="2" t="s">
        <v>361</v>
      </c>
      <c r="O52" s="16" t="s">
        <v>362</v>
      </c>
      <c r="P52" s="2" t="s">
        <v>104</v>
      </c>
      <c r="Q52" s="5">
        <v>1080</v>
      </c>
      <c r="R52" s="5">
        <v>50</v>
      </c>
      <c r="S52" s="5">
        <v>20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1150</v>
      </c>
      <c r="AG52" s="2" t="s">
        <v>1</v>
      </c>
      <c r="AH52" s="2" t="s">
        <v>363</v>
      </c>
      <c r="AI52" s="2" t="s">
        <v>1</v>
      </c>
      <c r="AJ52" s="2" t="s">
        <v>364</v>
      </c>
      <c r="AK52" s="2" t="s">
        <v>1</v>
      </c>
      <c r="AL52" s="2" t="s">
        <v>1</v>
      </c>
    </row>
    <row r="53" ht="17.5" customHeight="1" spans="1:38">
      <c r="A53" s="2" t="s">
        <v>365</v>
      </c>
      <c r="B53" s="2" t="s">
        <v>112</v>
      </c>
      <c r="C53" s="2" t="s">
        <v>158</v>
      </c>
      <c r="D53" s="2" t="s">
        <v>366</v>
      </c>
      <c r="E53" s="2" t="s">
        <v>367</v>
      </c>
      <c r="F53" s="2" t="s">
        <v>367</v>
      </c>
      <c r="G53" s="15" t="str">
        <f>VLOOKUP(F53,'[1]202501入账'!$A:$G,5,0)</f>
        <v>生态运营中心</v>
      </c>
      <c r="H53" s="15" t="str">
        <f>VLOOKUP(F53,'[1]202501入账'!$A:$G,6,0)</f>
        <v>KA运营组</v>
      </c>
      <c r="I53" s="6">
        <v>45662.9020833333</v>
      </c>
      <c r="J53" s="6">
        <v>45665.7534722222</v>
      </c>
      <c r="K53" s="2" t="s">
        <v>101</v>
      </c>
      <c r="L53" s="6" t="s">
        <v>1</v>
      </c>
      <c r="M53" s="2" t="s">
        <v>1</v>
      </c>
      <c r="N53" s="2" t="s">
        <v>368</v>
      </c>
      <c r="O53" s="16" t="s">
        <v>369</v>
      </c>
      <c r="P53" s="2" t="s">
        <v>104</v>
      </c>
      <c r="Q53" s="5">
        <v>802</v>
      </c>
      <c r="R53" s="5">
        <v>50</v>
      </c>
      <c r="S53" s="5">
        <v>20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3</v>
      </c>
      <c r="AC53" s="5">
        <v>0</v>
      </c>
      <c r="AD53" s="5">
        <v>0</v>
      </c>
      <c r="AE53" s="5">
        <v>0</v>
      </c>
      <c r="AF53" s="5">
        <v>875</v>
      </c>
      <c r="AG53" s="2" t="s">
        <v>1</v>
      </c>
      <c r="AH53" s="2" t="s">
        <v>370</v>
      </c>
      <c r="AI53" s="2" t="s">
        <v>1</v>
      </c>
      <c r="AJ53" s="2" t="s">
        <v>371</v>
      </c>
      <c r="AK53" s="2" t="s">
        <v>1</v>
      </c>
      <c r="AL53" s="2" t="s">
        <v>1</v>
      </c>
    </row>
    <row r="54" ht="17.5" customHeight="1" spans="1:38">
      <c r="A54" s="2" t="s">
        <v>372</v>
      </c>
      <c r="B54" s="2" t="s">
        <v>121</v>
      </c>
      <c r="C54" s="2" t="s">
        <v>1</v>
      </c>
      <c r="D54" s="2" t="s">
        <v>373</v>
      </c>
      <c r="E54" s="2" t="s">
        <v>374</v>
      </c>
      <c r="F54" s="2" t="s">
        <v>374</v>
      </c>
      <c r="G54" s="15" t="str">
        <f>VLOOKUP(F54,'[1]202501入账'!$A:$G,5,0)</f>
        <v>KA销售中心</v>
      </c>
      <c r="H54" s="15" t="str">
        <f>VLOOKUP(F54,'[1]202501入账'!$A:$G,6,0)</f>
        <v>渠道合作组-华北区</v>
      </c>
      <c r="I54" s="6">
        <v>45663.4840277778</v>
      </c>
      <c r="J54" s="6">
        <v>45671.6041666667</v>
      </c>
      <c r="K54" s="2" t="s">
        <v>101</v>
      </c>
      <c r="L54" s="6" t="s">
        <v>1</v>
      </c>
      <c r="M54" s="2" t="s">
        <v>1</v>
      </c>
      <c r="N54" s="2" t="s">
        <v>176</v>
      </c>
      <c r="O54" s="16" t="s">
        <v>375</v>
      </c>
      <c r="P54" s="2" t="s">
        <v>104</v>
      </c>
      <c r="Q54" s="5">
        <v>930</v>
      </c>
      <c r="R54" s="5">
        <v>50</v>
      </c>
      <c r="S54" s="5">
        <v>20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1000</v>
      </c>
      <c r="AG54" s="2" t="s">
        <v>1</v>
      </c>
      <c r="AH54" s="2" t="s">
        <v>376</v>
      </c>
      <c r="AI54" s="2" t="s">
        <v>1</v>
      </c>
      <c r="AJ54" s="2" t="s">
        <v>377</v>
      </c>
      <c r="AK54" s="2" t="s">
        <v>1</v>
      </c>
      <c r="AL54" s="2" t="s">
        <v>1</v>
      </c>
    </row>
    <row r="55" ht="17.5" customHeight="1" spans="1:38">
      <c r="A55" s="2" t="s">
        <v>378</v>
      </c>
      <c r="B55" s="2" t="s">
        <v>121</v>
      </c>
      <c r="C55" s="2" t="s">
        <v>379</v>
      </c>
      <c r="D55" s="2" t="s">
        <v>373</v>
      </c>
      <c r="E55" s="2" t="s">
        <v>374</v>
      </c>
      <c r="F55" s="2" t="s">
        <v>374</v>
      </c>
      <c r="G55" s="15" t="str">
        <f>VLOOKUP(F55,'[1]202501入账'!$A:$G,5,0)</f>
        <v>KA销售中心</v>
      </c>
      <c r="H55" s="15" t="str">
        <f>VLOOKUP(F55,'[1]202501入账'!$A:$G,6,0)</f>
        <v>渠道合作组-华北区</v>
      </c>
      <c r="I55" s="6">
        <v>45663.4923611111</v>
      </c>
      <c r="J55" s="6">
        <v>45673.7916666667</v>
      </c>
      <c r="K55" s="2" t="s">
        <v>101</v>
      </c>
      <c r="L55" s="6" t="s">
        <v>1</v>
      </c>
      <c r="M55" s="2" t="s">
        <v>1</v>
      </c>
      <c r="N55" s="2" t="s">
        <v>116</v>
      </c>
      <c r="O55" s="16" t="s">
        <v>380</v>
      </c>
      <c r="P55" s="2" t="s">
        <v>104</v>
      </c>
      <c r="Q55" s="5">
        <v>1365</v>
      </c>
      <c r="R55" s="5">
        <v>50</v>
      </c>
      <c r="S55" s="5">
        <v>20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3</v>
      </c>
      <c r="AC55" s="5">
        <v>30</v>
      </c>
      <c r="AD55" s="5">
        <v>0</v>
      </c>
      <c r="AE55" s="5">
        <v>0</v>
      </c>
      <c r="AF55" s="5">
        <v>1468</v>
      </c>
      <c r="AG55" s="2" t="s">
        <v>1</v>
      </c>
      <c r="AH55" s="2" t="s">
        <v>381</v>
      </c>
      <c r="AI55" s="2" t="s">
        <v>1</v>
      </c>
      <c r="AJ55" s="2" t="s">
        <v>382</v>
      </c>
      <c r="AK55" s="2" t="s">
        <v>1</v>
      </c>
      <c r="AL55" s="2" t="s">
        <v>1</v>
      </c>
    </row>
    <row r="56" ht="17.5" customHeight="1" spans="1:38">
      <c r="A56" s="2" t="s">
        <v>383</v>
      </c>
      <c r="B56" s="2" t="s">
        <v>121</v>
      </c>
      <c r="C56" s="2" t="s">
        <v>158</v>
      </c>
      <c r="D56" s="2" t="s">
        <v>384</v>
      </c>
      <c r="E56" s="2" t="s">
        <v>385</v>
      </c>
      <c r="F56" s="2" t="s">
        <v>385</v>
      </c>
      <c r="G56" s="15" t="str">
        <f>VLOOKUP(F56,'[1]202501入账'!$A:$G,5,0)</f>
        <v>KA销售中心</v>
      </c>
      <c r="H56" s="15" t="str">
        <f>VLOOKUP(F56,'[1]202501入账'!$A:$G,6,0)</f>
        <v>渠道合作组-华北区</v>
      </c>
      <c r="I56" s="6">
        <v>45663.4993055556</v>
      </c>
      <c r="J56" s="6">
        <v>45671.5069444444</v>
      </c>
      <c r="K56" s="2" t="s">
        <v>101</v>
      </c>
      <c r="L56" s="6" t="s">
        <v>1</v>
      </c>
      <c r="M56" s="2" t="s">
        <v>1</v>
      </c>
      <c r="N56" s="2" t="s">
        <v>277</v>
      </c>
      <c r="O56" s="16" t="s">
        <v>386</v>
      </c>
      <c r="P56" s="2" t="s">
        <v>104</v>
      </c>
      <c r="Q56" s="5">
        <v>707</v>
      </c>
      <c r="R56" s="5">
        <v>50</v>
      </c>
      <c r="S56" s="5">
        <v>20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3</v>
      </c>
      <c r="AC56" s="5">
        <v>0</v>
      </c>
      <c r="AD56" s="5">
        <v>0</v>
      </c>
      <c r="AE56" s="5">
        <v>0</v>
      </c>
      <c r="AF56" s="5">
        <v>780</v>
      </c>
      <c r="AG56" s="2" t="s">
        <v>1</v>
      </c>
      <c r="AH56" s="2" t="s">
        <v>387</v>
      </c>
      <c r="AI56" s="2" t="s">
        <v>1</v>
      </c>
      <c r="AJ56" s="2" t="s">
        <v>388</v>
      </c>
      <c r="AK56" s="2" t="s">
        <v>1</v>
      </c>
      <c r="AL56" s="2" t="s">
        <v>1</v>
      </c>
    </row>
    <row r="57" ht="17.5" customHeight="1" spans="1:38">
      <c r="A57" s="2" t="s">
        <v>389</v>
      </c>
      <c r="B57" s="2" t="s">
        <v>121</v>
      </c>
      <c r="C57" s="2" t="s">
        <v>379</v>
      </c>
      <c r="D57" s="2" t="s">
        <v>384</v>
      </c>
      <c r="E57" s="2" t="s">
        <v>385</v>
      </c>
      <c r="F57" s="2" t="s">
        <v>385</v>
      </c>
      <c r="G57" s="15" t="str">
        <f>VLOOKUP(F57,'[1]202501入账'!$A:$G,5,0)</f>
        <v>KA销售中心</v>
      </c>
      <c r="H57" s="15" t="str">
        <f>VLOOKUP(F57,'[1]202501入账'!$A:$G,6,0)</f>
        <v>渠道合作组-华北区</v>
      </c>
      <c r="I57" s="6">
        <v>45663.5041666667</v>
      </c>
      <c r="J57" s="6">
        <v>45673.7916666667</v>
      </c>
      <c r="K57" s="2" t="s">
        <v>101</v>
      </c>
      <c r="L57" s="6" t="s">
        <v>1</v>
      </c>
      <c r="M57" s="2" t="s">
        <v>1</v>
      </c>
      <c r="N57" s="2" t="s">
        <v>116</v>
      </c>
      <c r="O57" s="16" t="s">
        <v>380</v>
      </c>
      <c r="P57" s="2" t="s">
        <v>104</v>
      </c>
      <c r="Q57" s="5">
        <v>1365</v>
      </c>
      <c r="R57" s="5">
        <v>50</v>
      </c>
      <c r="S57" s="5">
        <v>20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3</v>
      </c>
      <c r="AC57" s="5">
        <v>0</v>
      </c>
      <c r="AD57" s="5">
        <v>0</v>
      </c>
      <c r="AE57" s="5">
        <v>0</v>
      </c>
      <c r="AF57" s="5">
        <v>1438</v>
      </c>
      <c r="AG57" s="2" t="s">
        <v>1</v>
      </c>
      <c r="AH57" s="2" t="s">
        <v>390</v>
      </c>
      <c r="AI57" s="2" t="s">
        <v>1</v>
      </c>
      <c r="AJ57" s="2" t="s">
        <v>391</v>
      </c>
      <c r="AK57" s="2" t="s">
        <v>1</v>
      </c>
      <c r="AL57" s="2" t="s">
        <v>1</v>
      </c>
    </row>
    <row r="58" ht="17.5" customHeight="1" spans="1:38">
      <c r="A58" s="2" t="s">
        <v>392</v>
      </c>
      <c r="B58" s="2" t="s">
        <v>121</v>
      </c>
      <c r="C58" s="2" t="s">
        <v>158</v>
      </c>
      <c r="D58" s="2" t="s">
        <v>296</v>
      </c>
      <c r="E58" s="2" t="s">
        <v>297</v>
      </c>
      <c r="F58" s="2" t="s">
        <v>298</v>
      </c>
      <c r="G58" s="15" t="str">
        <f>VLOOKUP(F58,'[1]202501入账'!$A:$G,5,0)</f>
        <v>中心负责人</v>
      </c>
      <c r="H58" s="15" t="str">
        <f>VLOOKUP(F58,'[1]202501入账'!$A:$G,6,0)</f>
        <v/>
      </c>
      <c r="I58" s="6">
        <v>45663.7354166667</v>
      </c>
      <c r="J58" s="6">
        <v>45666.8958333333</v>
      </c>
      <c r="K58" s="2" t="s">
        <v>101</v>
      </c>
      <c r="L58" s="6" t="s">
        <v>1</v>
      </c>
      <c r="M58" s="2" t="s">
        <v>1</v>
      </c>
      <c r="N58" s="2" t="s">
        <v>116</v>
      </c>
      <c r="O58" s="16" t="s">
        <v>393</v>
      </c>
      <c r="P58" s="2" t="s">
        <v>104</v>
      </c>
      <c r="Q58" s="5">
        <v>900</v>
      </c>
      <c r="R58" s="5">
        <v>50</v>
      </c>
      <c r="S58" s="5">
        <v>20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3</v>
      </c>
      <c r="AC58" s="5">
        <v>0</v>
      </c>
      <c r="AD58" s="5">
        <v>0</v>
      </c>
      <c r="AE58" s="5">
        <v>0</v>
      </c>
      <c r="AF58" s="5">
        <v>973</v>
      </c>
      <c r="AG58" s="2" t="s">
        <v>1</v>
      </c>
      <c r="AH58" s="2" t="s">
        <v>394</v>
      </c>
      <c r="AI58" s="2" t="s">
        <v>1</v>
      </c>
      <c r="AJ58" s="2" t="s">
        <v>395</v>
      </c>
      <c r="AK58" s="2" t="s">
        <v>1</v>
      </c>
      <c r="AL58" s="2" t="s">
        <v>1</v>
      </c>
    </row>
    <row r="59" ht="17.5" customHeight="1" spans="1:38">
      <c r="A59" s="2" t="s">
        <v>396</v>
      </c>
      <c r="B59" s="2" t="s">
        <v>112</v>
      </c>
      <c r="C59" s="2" t="s">
        <v>158</v>
      </c>
      <c r="D59" s="2" t="s">
        <v>397</v>
      </c>
      <c r="E59" s="2" t="s">
        <v>398</v>
      </c>
      <c r="F59" s="2" t="s">
        <v>398</v>
      </c>
      <c r="G59" s="15" t="str">
        <f>VLOOKUP(F59,'[1]202501入账'!$A:$G,5,0)</f>
        <v>战略投资中心</v>
      </c>
      <c r="H59" s="15" t="str">
        <f>VLOOKUP(F59,'[1]202501入账'!$A:$G,6,0)</f>
        <v>风控组</v>
      </c>
      <c r="I59" s="6">
        <v>45663.8604166667</v>
      </c>
      <c r="J59" s="6">
        <v>45669.5590277778</v>
      </c>
      <c r="K59" s="2" t="s">
        <v>101</v>
      </c>
      <c r="L59" s="6" t="s">
        <v>1</v>
      </c>
      <c r="M59" s="2" t="s">
        <v>1</v>
      </c>
      <c r="N59" s="2" t="s">
        <v>176</v>
      </c>
      <c r="O59" s="16" t="s">
        <v>399</v>
      </c>
      <c r="P59" s="2" t="s">
        <v>104</v>
      </c>
      <c r="Q59" s="5">
        <v>1100</v>
      </c>
      <c r="R59" s="5">
        <v>50</v>
      </c>
      <c r="S59" s="5">
        <v>20</v>
      </c>
      <c r="T59" s="5">
        <v>0</v>
      </c>
      <c r="U59" s="5">
        <v>40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3</v>
      </c>
      <c r="AC59" s="5">
        <v>0</v>
      </c>
      <c r="AD59" s="5">
        <v>0</v>
      </c>
      <c r="AE59" s="5">
        <v>0</v>
      </c>
      <c r="AF59" s="5">
        <v>1213</v>
      </c>
      <c r="AG59" s="2" t="s">
        <v>1</v>
      </c>
      <c r="AH59" s="2" t="s">
        <v>400</v>
      </c>
      <c r="AI59" s="2" t="s">
        <v>1</v>
      </c>
      <c r="AJ59" s="2" t="s">
        <v>401</v>
      </c>
      <c r="AK59" s="2" t="s">
        <v>1</v>
      </c>
      <c r="AL59" s="2" t="s">
        <v>1</v>
      </c>
    </row>
    <row r="60" ht="17.5" customHeight="1" spans="1:38">
      <c r="A60" s="2" t="s">
        <v>402</v>
      </c>
      <c r="B60" s="2" t="s">
        <v>112</v>
      </c>
      <c r="C60" s="2" t="s">
        <v>158</v>
      </c>
      <c r="D60" s="2" t="s">
        <v>397</v>
      </c>
      <c r="E60" s="2" t="s">
        <v>398</v>
      </c>
      <c r="F60" s="2" t="s">
        <v>398</v>
      </c>
      <c r="G60" s="15" t="str">
        <f>VLOOKUP(F60,'[1]202501入账'!$A:$G,5,0)</f>
        <v>战略投资中心</v>
      </c>
      <c r="H60" s="15" t="str">
        <f>VLOOKUP(F60,'[1]202501入账'!$A:$G,6,0)</f>
        <v>风控组</v>
      </c>
      <c r="I60" s="6">
        <v>45663.8604166667</v>
      </c>
      <c r="J60" s="6">
        <v>45665.5</v>
      </c>
      <c r="K60" s="2" t="s">
        <v>101</v>
      </c>
      <c r="L60" s="6" t="s">
        <v>1</v>
      </c>
      <c r="M60" s="2" t="s">
        <v>1</v>
      </c>
      <c r="N60" s="2" t="s">
        <v>116</v>
      </c>
      <c r="O60" s="16" t="s">
        <v>403</v>
      </c>
      <c r="P60" s="2" t="s">
        <v>104</v>
      </c>
      <c r="Q60" s="5">
        <v>798</v>
      </c>
      <c r="R60" s="5">
        <v>50</v>
      </c>
      <c r="S60" s="5">
        <v>20</v>
      </c>
      <c r="T60" s="5">
        <v>0</v>
      </c>
      <c r="U60" s="5">
        <v>40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3</v>
      </c>
      <c r="AC60" s="5">
        <v>0</v>
      </c>
      <c r="AD60" s="5">
        <v>0</v>
      </c>
      <c r="AE60" s="5">
        <v>0</v>
      </c>
      <c r="AF60" s="5">
        <v>911</v>
      </c>
      <c r="AG60" s="2" t="s">
        <v>1</v>
      </c>
      <c r="AH60" s="2" t="s">
        <v>404</v>
      </c>
      <c r="AI60" s="2" t="s">
        <v>1</v>
      </c>
      <c r="AJ60" s="2" t="s">
        <v>405</v>
      </c>
      <c r="AK60" s="2" t="s">
        <v>1</v>
      </c>
      <c r="AL60" s="2" t="s">
        <v>1</v>
      </c>
    </row>
    <row r="61" ht="17.5" customHeight="1" spans="1:38">
      <c r="A61" s="2" t="s">
        <v>406</v>
      </c>
      <c r="B61" s="2" t="s">
        <v>112</v>
      </c>
      <c r="C61" s="2" t="s">
        <v>158</v>
      </c>
      <c r="D61" s="2" t="s">
        <v>407</v>
      </c>
      <c r="E61" s="2" t="s">
        <v>408</v>
      </c>
      <c r="F61" s="2" t="s">
        <v>408</v>
      </c>
      <c r="G61" s="15" t="str">
        <f>VLOOKUP(F61,'[1]202501入账'!$A:$G,5,0)</f>
        <v>战略投资中心</v>
      </c>
      <c r="H61" s="15" t="str">
        <f>VLOOKUP(F61,'[1]202501入账'!$A:$G,6,0)</f>
        <v>风控组</v>
      </c>
      <c r="I61" s="6">
        <v>45663.8659722222</v>
      </c>
      <c r="J61" s="6">
        <v>45665.5</v>
      </c>
      <c r="K61" s="2" t="s">
        <v>101</v>
      </c>
      <c r="L61" s="6" t="s">
        <v>1</v>
      </c>
      <c r="M61" s="2" t="s">
        <v>1</v>
      </c>
      <c r="N61" s="2" t="s">
        <v>116</v>
      </c>
      <c r="O61" s="16" t="s">
        <v>403</v>
      </c>
      <c r="P61" s="2" t="s">
        <v>104</v>
      </c>
      <c r="Q61" s="5">
        <v>800</v>
      </c>
      <c r="R61" s="5">
        <v>50</v>
      </c>
      <c r="S61" s="5">
        <v>20</v>
      </c>
      <c r="T61" s="5">
        <v>0</v>
      </c>
      <c r="U61" s="5">
        <v>40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3</v>
      </c>
      <c r="AC61" s="5">
        <v>30</v>
      </c>
      <c r="AD61" s="5">
        <v>0</v>
      </c>
      <c r="AE61" s="5">
        <v>0</v>
      </c>
      <c r="AF61" s="5">
        <v>943</v>
      </c>
      <c r="AG61" s="2" t="s">
        <v>1</v>
      </c>
      <c r="AH61" s="2" t="s">
        <v>409</v>
      </c>
      <c r="AI61" s="2" t="s">
        <v>1</v>
      </c>
      <c r="AJ61" s="2" t="s">
        <v>410</v>
      </c>
      <c r="AK61" s="2" t="s">
        <v>1</v>
      </c>
      <c r="AL61" s="2" t="s">
        <v>1</v>
      </c>
    </row>
    <row r="62" ht="17.5" customHeight="1" spans="1:38">
      <c r="A62" s="2" t="s">
        <v>411</v>
      </c>
      <c r="B62" s="2" t="s">
        <v>121</v>
      </c>
      <c r="C62" s="2" t="s">
        <v>158</v>
      </c>
      <c r="D62" s="2" t="s">
        <v>407</v>
      </c>
      <c r="E62" s="2" t="s">
        <v>408</v>
      </c>
      <c r="F62" s="2" t="s">
        <v>408</v>
      </c>
      <c r="G62" s="15" t="str">
        <f>VLOOKUP(F62,'[1]202501入账'!$A:$G,5,0)</f>
        <v>战略投资中心</v>
      </c>
      <c r="H62" s="15" t="str">
        <f>VLOOKUP(F62,'[1]202501入账'!$A:$G,6,0)</f>
        <v>风控组</v>
      </c>
      <c r="I62" s="6">
        <v>45663.8840277778</v>
      </c>
      <c r="J62" s="6">
        <v>45667.6805555556</v>
      </c>
      <c r="K62" s="2" t="s">
        <v>101</v>
      </c>
      <c r="L62" s="6">
        <v>45667.75</v>
      </c>
      <c r="M62" s="16" t="s">
        <v>412</v>
      </c>
      <c r="N62" s="2" t="s">
        <v>176</v>
      </c>
      <c r="O62" s="16" t="s">
        <v>413</v>
      </c>
      <c r="P62" s="2" t="s">
        <v>104</v>
      </c>
      <c r="Q62" s="5">
        <v>1000</v>
      </c>
      <c r="R62" s="5">
        <v>50</v>
      </c>
      <c r="S62" s="5">
        <v>20</v>
      </c>
      <c r="T62" s="5">
        <v>0</v>
      </c>
      <c r="U62" s="5">
        <v>0</v>
      </c>
      <c r="V62" s="5">
        <v>0</v>
      </c>
      <c r="W62" s="5">
        <v>1020</v>
      </c>
      <c r="X62" s="5">
        <v>0</v>
      </c>
      <c r="Y62" s="5">
        <v>0</v>
      </c>
      <c r="Z62" s="5">
        <v>0</v>
      </c>
      <c r="AA62" s="5">
        <v>0</v>
      </c>
      <c r="AB62" s="5">
        <v>3</v>
      </c>
      <c r="AC62" s="5">
        <v>30</v>
      </c>
      <c r="AD62" s="5">
        <v>0</v>
      </c>
      <c r="AE62" s="5">
        <v>0</v>
      </c>
      <c r="AF62" s="5">
        <v>2123</v>
      </c>
      <c r="AG62" s="2" t="s">
        <v>1</v>
      </c>
      <c r="AH62" s="2" t="s">
        <v>414</v>
      </c>
      <c r="AI62" s="2" t="s">
        <v>415</v>
      </c>
      <c r="AJ62" s="2" t="s">
        <v>416</v>
      </c>
      <c r="AK62" s="2" t="s">
        <v>417</v>
      </c>
      <c r="AL62" s="2" t="s">
        <v>158</v>
      </c>
    </row>
    <row r="63" ht="17.5" customHeight="1" spans="1:38">
      <c r="A63" s="2" t="s">
        <v>418</v>
      </c>
      <c r="B63" s="2" t="s">
        <v>112</v>
      </c>
      <c r="C63" s="2" t="s">
        <v>158</v>
      </c>
      <c r="D63" s="2" t="s">
        <v>419</v>
      </c>
      <c r="E63" s="2" t="s">
        <v>420</v>
      </c>
      <c r="F63" s="2" t="s">
        <v>420</v>
      </c>
      <c r="G63" s="15" t="str">
        <f>VLOOKUP(F63,'[1]202501入账'!$A:$G,5,0)</f>
        <v>战略投资中心</v>
      </c>
      <c r="H63" s="15" t="str">
        <f>VLOOKUP(F63,'[1]202501入账'!$A:$G,6,0)</f>
        <v>风控组</v>
      </c>
      <c r="I63" s="6">
        <v>45663.8868055556</v>
      </c>
      <c r="J63" s="6">
        <v>45667.6805555556</v>
      </c>
      <c r="K63" s="2" t="s">
        <v>101</v>
      </c>
      <c r="L63" s="6">
        <v>45667.75</v>
      </c>
      <c r="M63" s="16" t="s">
        <v>412</v>
      </c>
      <c r="N63" s="2" t="s">
        <v>176</v>
      </c>
      <c r="O63" s="16" t="s">
        <v>413</v>
      </c>
      <c r="P63" s="2" t="s">
        <v>104</v>
      </c>
      <c r="Q63" s="5">
        <v>998</v>
      </c>
      <c r="R63" s="5">
        <v>50</v>
      </c>
      <c r="S63" s="5">
        <v>20</v>
      </c>
      <c r="T63" s="5">
        <v>0</v>
      </c>
      <c r="U63" s="5">
        <v>0</v>
      </c>
      <c r="V63" s="5">
        <v>0</v>
      </c>
      <c r="W63" s="5">
        <v>1021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2089</v>
      </c>
      <c r="AG63" s="2" t="s">
        <v>1</v>
      </c>
      <c r="AH63" s="2" t="s">
        <v>421</v>
      </c>
      <c r="AI63" s="2" t="s">
        <v>422</v>
      </c>
      <c r="AJ63" s="2" t="s">
        <v>423</v>
      </c>
      <c r="AK63" s="2" t="s">
        <v>424</v>
      </c>
      <c r="AL63" s="2" t="s">
        <v>158</v>
      </c>
    </row>
    <row r="64" ht="17.5" customHeight="1" spans="1:38">
      <c r="A64" s="2" t="s">
        <v>425</v>
      </c>
      <c r="B64" s="2" t="s">
        <v>112</v>
      </c>
      <c r="C64" s="2" t="s">
        <v>158</v>
      </c>
      <c r="D64" s="2" t="s">
        <v>419</v>
      </c>
      <c r="E64" s="2" t="s">
        <v>420</v>
      </c>
      <c r="F64" s="2" t="s">
        <v>420</v>
      </c>
      <c r="G64" s="15" t="str">
        <f>VLOOKUP(F64,'[1]202501入账'!$A:$G,5,0)</f>
        <v>战略投资中心</v>
      </c>
      <c r="H64" s="15" t="str">
        <f>VLOOKUP(F64,'[1]202501入账'!$A:$G,6,0)</f>
        <v>风控组</v>
      </c>
      <c r="I64" s="6">
        <v>45663.8868055556</v>
      </c>
      <c r="J64" s="6">
        <v>45665.5</v>
      </c>
      <c r="K64" s="2" t="s">
        <v>101</v>
      </c>
      <c r="L64" s="6" t="s">
        <v>1</v>
      </c>
      <c r="M64" s="2" t="s">
        <v>1</v>
      </c>
      <c r="N64" s="2" t="s">
        <v>116</v>
      </c>
      <c r="O64" s="16" t="s">
        <v>403</v>
      </c>
      <c r="P64" s="2" t="s">
        <v>104</v>
      </c>
      <c r="Q64" s="5">
        <v>800</v>
      </c>
      <c r="R64" s="5">
        <v>50</v>
      </c>
      <c r="S64" s="5">
        <v>20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3</v>
      </c>
      <c r="AC64" s="5">
        <v>0</v>
      </c>
      <c r="AD64" s="5">
        <v>0</v>
      </c>
      <c r="AE64" s="5">
        <v>0</v>
      </c>
      <c r="AF64" s="5">
        <v>873</v>
      </c>
      <c r="AG64" s="2" t="s">
        <v>1</v>
      </c>
      <c r="AH64" s="2" t="s">
        <v>426</v>
      </c>
      <c r="AI64" s="2" t="s">
        <v>1</v>
      </c>
      <c r="AJ64" s="2" t="s">
        <v>427</v>
      </c>
      <c r="AK64" s="2" t="s">
        <v>1</v>
      </c>
      <c r="AL64" s="2" t="s">
        <v>1</v>
      </c>
    </row>
    <row r="65" ht="17.5" customHeight="1" spans="1:38">
      <c r="A65" s="2" t="s">
        <v>428</v>
      </c>
      <c r="B65" s="2" t="s">
        <v>121</v>
      </c>
      <c r="C65" s="2" t="s">
        <v>1</v>
      </c>
      <c r="D65" s="2" t="s">
        <v>226</v>
      </c>
      <c r="E65" s="2" t="s">
        <v>227</v>
      </c>
      <c r="F65" s="2" t="s">
        <v>227</v>
      </c>
      <c r="G65" s="15" t="str">
        <f>VLOOKUP(F65,'[1]202501入账'!$A:$G,5,0)</f>
        <v>自营销售中心</v>
      </c>
      <c r="H65" s="15" t="str">
        <f>VLOOKUP(F65,'[1]202501入账'!$A:$G,6,0)</f>
        <v/>
      </c>
      <c r="I65" s="6">
        <v>45664.5486111111</v>
      </c>
      <c r="J65" s="6">
        <v>45667.6875</v>
      </c>
      <c r="K65" s="2" t="s">
        <v>101</v>
      </c>
      <c r="L65" s="6" t="s">
        <v>1</v>
      </c>
      <c r="M65" s="2" t="s">
        <v>1</v>
      </c>
      <c r="N65" s="2" t="s">
        <v>429</v>
      </c>
      <c r="O65" s="16" t="s">
        <v>430</v>
      </c>
      <c r="P65" s="2" t="s">
        <v>104</v>
      </c>
      <c r="Q65" s="5">
        <v>650</v>
      </c>
      <c r="R65" s="5">
        <v>50</v>
      </c>
      <c r="S65" s="5">
        <v>20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30</v>
      </c>
      <c r="AD65" s="5">
        <v>0</v>
      </c>
      <c r="AE65" s="5">
        <v>0</v>
      </c>
      <c r="AF65" s="5">
        <v>750</v>
      </c>
      <c r="AG65" s="2" t="s">
        <v>1</v>
      </c>
      <c r="AH65" s="2" t="s">
        <v>431</v>
      </c>
      <c r="AI65" s="2" t="s">
        <v>1</v>
      </c>
      <c r="AJ65" s="2" t="s">
        <v>432</v>
      </c>
      <c r="AK65" s="2" t="s">
        <v>1</v>
      </c>
      <c r="AL65" s="2" t="s">
        <v>1</v>
      </c>
    </row>
    <row r="66" ht="17.5" customHeight="1" spans="1:38">
      <c r="A66" s="2" t="s">
        <v>433</v>
      </c>
      <c r="B66" s="2" t="s">
        <v>121</v>
      </c>
      <c r="C66" s="2" t="s">
        <v>1</v>
      </c>
      <c r="D66" s="2" t="s">
        <v>192</v>
      </c>
      <c r="E66" s="2" t="s">
        <v>193</v>
      </c>
      <c r="F66" s="2" t="s">
        <v>193</v>
      </c>
      <c r="G66" s="15" t="str">
        <f>VLOOKUP(F66,'[1]202501入账'!$A:$G,5,0)</f>
        <v>运营支持中心</v>
      </c>
      <c r="H66" s="15" t="str">
        <f>VLOOKUP(F66,'[1]202501入账'!$A:$G,6,0)</f>
        <v>新零售服务一组</v>
      </c>
      <c r="I66" s="6">
        <v>45664.63125</v>
      </c>
      <c r="J66" s="6">
        <v>45664.8194444444</v>
      </c>
      <c r="K66" s="2" t="s">
        <v>101</v>
      </c>
      <c r="L66" s="6" t="s">
        <v>1</v>
      </c>
      <c r="M66" s="2" t="s">
        <v>1</v>
      </c>
      <c r="N66" s="2" t="s">
        <v>299</v>
      </c>
      <c r="O66" s="16" t="s">
        <v>434</v>
      </c>
      <c r="P66" s="2" t="s">
        <v>104</v>
      </c>
      <c r="Q66" s="5">
        <v>880</v>
      </c>
      <c r="R66" s="5">
        <v>50</v>
      </c>
      <c r="S66" s="5">
        <v>20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950</v>
      </c>
      <c r="AG66" s="2" t="s">
        <v>1</v>
      </c>
      <c r="AH66" s="2" t="s">
        <v>435</v>
      </c>
      <c r="AI66" s="2" t="s">
        <v>1</v>
      </c>
      <c r="AJ66" s="2" t="s">
        <v>436</v>
      </c>
      <c r="AK66" s="2" t="s">
        <v>1</v>
      </c>
      <c r="AL66" s="2" t="s">
        <v>1</v>
      </c>
    </row>
    <row r="67" ht="17.5" customHeight="1" spans="1:38">
      <c r="A67" s="2" t="s">
        <v>437</v>
      </c>
      <c r="B67" s="2" t="s">
        <v>121</v>
      </c>
      <c r="C67" s="2" t="s">
        <v>158</v>
      </c>
      <c r="D67" s="2" t="s">
        <v>366</v>
      </c>
      <c r="E67" s="2" t="s">
        <v>367</v>
      </c>
      <c r="F67" s="2" t="s">
        <v>367</v>
      </c>
      <c r="G67" s="15" t="str">
        <f>VLOOKUP(F67,'[1]202501入账'!$A:$G,5,0)</f>
        <v>生态运营中心</v>
      </c>
      <c r="H67" s="15" t="str">
        <f>VLOOKUP(F67,'[1]202501入账'!$A:$G,6,0)</f>
        <v>KA运营组</v>
      </c>
      <c r="I67" s="6">
        <v>45664.9472222222</v>
      </c>
      <c r="J67" s="6">
        <v>45667.8993055556</v>
      </c>
      <c r="K67" s="2" t="s">
        <v>101</v>
      </c>
      <c r="L67" s="6" t="s">
        <v>1</v>
      </c>
      <c r="M67" s="2" t="s">
        <v>1</v>
      </c>
      <c r="N67" s="2" t="s">
        <v>164</v>
      </c>
      <c r="O67" s="16" t="s">
        <v>438</v>
      </c>
      <c r="P67" s="2" t="s">
        <v>104</v>
      </c>
      <c r="Q67" s="5">
        <v>1400</v>
      </c>
      <c r="R67" s="5">
        <v>50</v>
      </c>
      <c r="S67" s="5">
        <v>20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3</v>
      </c>
      <c r="AC67" s="5">
        <v>0</v>
      </c>
      <c r="AD67" s="5">
        <v>0</v>
      </c>
      <c r="AE67" s="5">
        <v>0</v>
      </c>
      <c r="AF67" s="5">
        <v>1473</v>
      </c>
      <c r="AG67" s="2" t="s">
        <v>1</v>
      </c>
      <c r="AH67" s="2" t="s">
        <v>439</v>
      </c>
      <c r="AI67" s="2" t="s">
        <v>1</v>
      </c>
      <c r="AJ67" s="2" t="s">
        <v>440</v>
      </c>
      <c r="AK67" s="2" t="s">
        <v>1</v>
      </c>
      <c r="AL67" s="2" t="s">
        <v>1</v>
      </c>
    </row>
    <row r="68" ht="17.5" customHeight="1" spans="1:38">
      <c r="A68" s="2" t="s">
        <v>441</v>
      </c>
      <c r="B68" s="2" t="s">
        <v>121</v>
      </c>
      <c r="C68" s="2" t="s">
        <v>1</v>
      </c>
      <c r="D68" s="2" t="s">
        <v>442</v>
      </c>
      <c r="E68" s="2" t="s">
        <v>443</v>
      </c>
      <c r="F68" s="2" t="s">
        <v>443</v>
      </c>
      <c r="G68" s="15" t="str">
        <f>VLOOKUP(F68,'[1]202501入账'!$A:$G,5,0)</f>
        <v>运营支持中心</v>
      </c>
      <c r="H68" s="15" t="str">
        <f>VLOOKUP(F68,'[1]202501入账'!$A:$G,6,0)</f>
        <v>新零售服务二组</v>
      </c>
      <c r="I68" s="6">
        <v>45665.0854166667</v>
      </c>
      <c r="J68" s="6">
        <v>45665.8611111111</v>
      </c>
      <c r="K68" s="2" t="s">
        <v>101</v>
      </c>
      <c r="L68" s="6" t="s">
        <v>1</v>
      </c>
      <c r="M68" s="2" t="s">
        <v>1</v>
      </c>
      <c r="N68" s="2" t="s">
        <v>299</v>
      </c>
      <c r="O68" s="16" t="s">
        <v>444</v>
      </c>
      <c r="P68" s="2" t="s">
        <v>104</v>
      </c>
      <c r="Q68" s="5">
        <v>800</v>
      </c>
      <c r="R68" s="5">
        <v>50</v>
      </c>
      <c r="S68" s="5">
        <v>20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30</v>
      </c>
      <c r="AD68" s="5">
        <v>0</v>
      </c>
      <c r="AE68" s="5">
        <v>0</v>
      </c>
      <c r="AF68" s="5">
        <v>900</v>
      </c>
      <c r="AG68" s="2" t="s">
        <v>1</v>
      </c>
      <c r="AH68" s="2" t="s">
        <v>445</v>
      </c>
      <c r="AI68" s="2" t="s">
        <v>1</v>
      </c>
      <c r="AJ68" s="2" t="s">
        <v>446</v>
      </c>
      <c r="AK68" s="2" t="s">
        <v>1</v>
      </c>
      <c r="AL68" s="2" t="s">
        <v>1</v>
      </c>
    </row>
    <row r="69" ht="17.5" customHeight="1" spans="1:38">
      <c r="A69" s="2" t="s">
        <v>447</v>
      </c>
      <c r="B69" s="2" t="s">
        <v>121</v>
      </c>
      <c r="C69" s="2" t="s">
        <v>1</v>
      </c>
      <c r="D69" s="2" t="s">
        <v>219</v>
      </c>
      <c r="E69" s="2" t="s">
        <v>220</v>
      </c>
      <c r="F69" s="2" t="s">
        <v>220</v>
      </c>
      <c r="G69" s="15" t="str">
        <f>VLOOKUP(F69,'[1]202501入账'!$A:$G,5,0)</f>
        <v>自营销售中心</v>
      </c>
      <c r="H69" s="15" t="str">
        <f>VLOOKUP(F69,'[1]202501入账'!$A:$G,6,0)</f>
        <v>短剧组</v>
      </c>
      <c r="I69" s="6">
        <v>45666.8034722222</v>
      </c>
      <c r="J69" s="6">
        <v>45667.5833333333</v>
      </c>
      <c r="K69" s="2" t="s">
        <v>101</v>
      </c>
      <c r="L69" s="6" t="s">
        <v>1</v>
      </c>
      <c r="M69" s="2" t="s">
        <v>1</v>
      </c>
      <c r="N69" s="2" t="s">
        <v>429</v>
      </c>
      <c r="O69" s="16" t="s">
        <v>448</v>
      </c>
      <c r="P69" s="2" t="s">
        <v>104</v>
      </c>
      <c r="Q69" s="5">
        <v>1550</v>
      </c>
      <c r="R69" s="5">
        <v>50</v>
      </c>
      <c r="S69" s="5">
        <v>20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30</v>
      </c>
      <c r="AD69" s="5">
        <v>0</v>
      </c>
      <c r="AE69" s="5">
        <v>0</v>
      </c>
      <c r="AF69" s="5">
        <v>1650</v>
      </c>
      <c r="AG69" s="2" t="s">
        <v>1</v>
      </c>
      <c r="AH69" s="2" t="s">
        <v>449</v>
      </c>
      <c r="AI69" s="2" t="s">
        <v>1</v>
      </c>
      <c r="AJ69" s="2" t="s">
        <v>450</v>
      </c>
      <c r="AK69" s="2" t="s">
        <v>1</v>
      </c>
      <c r="AL69" s="2" t="s">
        <v>1</v>
      </c>
    </row>
    <row r="70" ht="17.5" customHeight="1" spans="1:38">
      <c r="A70" s="8" t="s">
        <v>451</v>
      </c>
      <c r="B70" s="8" t="s">
        <v>98</v>
      </c>
      <c r="C70" s="8" t="s">
        <v>1</v>
      </c>
      <c r="D70" s="8" t="s">
        <v>366</v>
      </c>
      <c r="E70" s="8" t="s">
        <v>367</v>
      </c>
      <c r="F70" s="8" t="s">
        <v>367</v>
      </c>
      <c r="G70" s="15" t="str">
        <f>VLOOKUP(F70,'[1]202501入账'!$A:$G,5,0)</f>
        <v>生态运营中心</v>
      </c>
      <c r="H70" s="15" t="str">
        <f>VLOOKUP(F70,'[1]202501入账'!$A:$G,6,0)</f>
        <v>KA运营组</v>
      </c>
      <c r="I70" s="10">
        <v>45666.9951388889</v>
      </c>
      <c r="J70" s="10">
        <v>45670.3819444444</v>
      </c>
      <c r="K70" s="8" t="s">
        <v>101</v>
      </c>
      <c r="L70" s="10" t="s">
        <v>1</v>
      </c>
      <c r="M70" s="8" t="s">
        <v>1</v>
      </c>
      <c r="N70" s="8" t="s">
        <v>368</v>
      </c>
      <c r="O70" s="8" t="s">
        <v>452</v>
      </c>
      <c r="P70" s="8" t="s">
        <v>104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508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508</v>
      </c>
      <c r="AG70" s="8" t="s">
        <v>306</v>
      </c>
      <c r="AH70" s="8" t="s">
        <v>453</v>
      </c>
      <c r="AI70" s="8" t="s">
        <v>1</v>
      </c>
      <c r="AJ70" s="8" t="s">
        <v>1</v>
      </c>
      <c r="AK70" s="8" t="s">
        <v>1</v>
      </c>
      <c r="AL70" s="8" t="s">
        <v>1</v>
      </c>
    </row>
    <row r="71" ht="17.5" customHeight="1" spans="1:38">
      <c r="A71" s="2" t="s">
        <v>454</v>
      </c>
      <c r="B71" s="2" t="s">
        <v>121</v>
      </c>
      <c r="C71" s="2" t="s">
        <v>1</v>
      </c>
      <c r="D71" s="2" t="s">
        <v>366</v>
      </c>
      <c r="E71" s="2" t="s">
        <v>367</v>
      </c>
      <c r="F71" s="2" t="s">
        <v>367</v>
      </c>
      <c r="G71" s="15" t="str">
        <f>VLOOKUP(F71,'[1]202501入账'!$A:$G,5,0)</f>
        <v>生态运营中心</v>
      </c>
      <c r="H71" s="15" t="str">
        <f>VLOOKUP(F71,'[1]202501入账'!$A:$G,6,0)</f>
        <v>KA运营组</v>
      </c>
      <c r="I71" s="6">
        <v>45667.0006944444</v>
      </c>
      <c r="J71" s="6">
        <v>45674.5208333333</v>
      </c>
      <c r="K71" s="2" t="s">
        <v>101</v>
      </c>
      <c r="L71" s="6" t="s">
        <v>1</v>
      </c>
      <c r="M71" s="2" t="s">
        <v>1</v>
      </c>
      <c r="N71" s="2" t="s">
        <v>164</v>
      </c>
      <c r="O71" s="16" t="s">
        <v>455</v>
      </c>
      <c r="P71" s="2" t="s">
        <v>104</v>
      </c>
      <c r="Q71" s="5">
        <v>1480</v>
      </c>
      <c r="R71" s="5">
        <v>50</v>
      </c>
      <c r="S71" s="5">
        <v>20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1550</v>
      </c>
      <c r="AG71" s="2" t="s">
        <v>1</v>
      </c>
      <c r="AH71" s="2" t="s">
        <v>456</v>
      </c>
      <c r="AI71" s="2" t="s">
        <v>1</v>
      </c>
      <c r="AJ71" s="2" t="s">
        <v>457</v>
      </c>
      <c r="AK71" s="2" t="s">
        <v>1</v>
      </c>
      <c r="AL71" s="2" t="s">
        <v>1</v>
      </c>
    </row>
    <row r="72" ht="17.5" customHeight="1" spans="1:38">
      <c r="A72" s="2" t="s">
        <v>458</v>
      </c>
      <c r="B72" s="2" t="s">
        <v>121</v>
      </c>
      <c r="C72" s="2" t="s">
        <v>1</v>
      </c>
      <c r="D72" s="2" t="s">
        <v>459</v>
      </c>
      <c r="E72" s="2" t="s">
        <v>460</v>
      </c>
      <c r="F72" s="2" t="s">
        <v>460</v>
      </c>
      <c r="G72" s="15" t="str">
        <f>VLOOKUP(F72,'[1]202501入账'!$A:$G,5,0)</f>
        <v>战略投资中心</v>
      </c>
      <c r="H72" s="15" t="str">
        <f>VLOOKUP(F72,'[1]202501入账'!$A:$G,6,0)</f>
        <v>投资组</v>
      </c>
      <c r="I72" s="6">
        <v>45667.6881944444</v>
      </c>
      <c r="J72" s="6">
        <v>45670.6875</v>
      </c>
      <c r="K72" s="2" t="s">
        <v>101</v>
      </c>
      <c r="L72" s="6" t="s">
        <v>1</v>
      </c>
      <c r="M72" s="2" t="s">
        <v>1</v>
      </c>
      <c r="N72" s="2" t="s">
        <v>176</v>
      </c>
      <c r="O72" s="16" t="s">
        <v>204</v>
      </c>
      <c r="P72" s="2" t="s">
        <v>104</v>
      </c>
      <c r="Q72" s="5">
        <v>1590</v>
      </c>
      <c r="R72" s="5">
        <v>50</v>
      </c>
      <c r="S72" s="5">
        <v>20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1660</v>
      </c>
      <c r="AG72" s="2" t="s">
        <v>1</v>
      </c>
      <c r="AH72" s="2" t="s">
        <v>461</v>
      </c>
      <c r="AI72" s="2" t="s">
        <v>1</v>
      </c>
      <c r="AJ72" s="2" t="s">
        <v>462</v>
      </c>
      <c r="AK72" s="2" t="s">
        <v>1</v>
      </c>
      <c r="AL72" s="2" t="s">
        <v>1</v>
      </c>
    </row>
    <row r="73" ht="17.5" customHeight="1" spans="1:38">
      <c r="A73" s="2" t="s">
        <v>463</v>
      </c>
      <c r="B73" s="2" t="s">
        <v>121</v>
      </c>
      <c r="C73" s="2" t="s">
        <v>1</v>
      </c>
      <c r="D73" s="2" t="s">
        <v>464</v>
      </c>
      <c r="E73" s="2" t="s">
        <v>465</v>
      </c>
      <c r="F73" s="2" t="s">
        <v>465</v>
      </c>
      <c r="G73" s="15" t="str">
        <f>VLOOKUP(F73,'[1]202501入账'!$A:$G,5,0)</f>
        <v>KA销售中心</v>
      </c>
      <c r="H73" s="15" t="str">
        <f>VLOOKUP(F73,'[1]202501入账'!$A:$G,6,0)</f>
        <v>渠道合作组-西南区</v>
      </c>
      <c r="I73" s="6">
        <v>45667.7465277778</v>
      </c>
      <c r="J73" s="6">
        <v>45670.4513888889</v>
      </c>
      <c r="K73" s="2" t="s">
        <v>101</v>
      </c>
      <c r="L73" s="6" t="s">
        <v>1</v>
      </c>
      <c r="M73" s="2" t="s">
        <v>1</v>
      </c>
      <c r="N73" s="2" t="s">
        <v>221</v>
      </c>
      <c r="O73" s="16" t="s">
        <v>466</v>
      </c>
      <c r="P73" s="2" t="s">
        <v>104</v>
      </c>
      <c r="Q73" s="5">
        <v>840</v>
      </c>
      <c r="R73" s="5">
        <v>50</v>
      </c>
      <c r="S73" s="5">
        <v>20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30</v>
      </c>
      <c r="AD73" s="5">
        <v>0</v>
      </c>
      <c r="AE73" s="5">
        <v>0</v>
      </c>
      <c r="AF73" s="5">
        <v>940</v>
      </c>
      <c r="AG73" s="2" t="s">
        <v>1</v>
      </c>
      <c r="AH73" s="2" t="s">
        <v>467</v>
      </c>
      <c r="AI73" s="2" t="s">
        <v>1</v>
      </c>
      <c r="AJ73" s="2" t="s">
        <v>468</v>
      </c>
      <c r="AK73" s="2" t="s">
        <v>1</v>
      </c>
      <c r="AL73" s="2" t="s">
        <v>1</v>
      </c>
    </row>
    <row r="74" ht="17.5" customHeight="1" spans="1:38">
      <c r="A74" s="2" t="s">
        <v>469</v>
      </c>
      <c r="B74" s="2" t="s">
        <v>121</v>
      </c>
      <c r="C74" s="2" t="s">
        <v>1</v>
      </c>
      <c r="D74" s="2" t="s">
        <v>366</v>
      </c>
      <c r="E74" s="2" t="s">
        <v>367</v>
      </c>
      <c r="F74" s="2" t="s">
        <v>367</v>
      </c>
      <c r="G74" s="15" t="str">
        <f>VLOOKUP(F74,'[1]202501入账'!$A:$G,5,0)</f>
        <v>生态运营中心</v>
      </c>
      <c r="H74" s="15" t="str">
        <f>VLOOKUP(F74,'[1]202501入账'!$A:$G,6,0)</f>
        <v>KA运营组</v>
      </c>
      <c r="I74" s="6">
        <v>45668.0243055556</v>
      </c>
      <c r="J74" s="6">
        <v>45679.5</v>
      </c>
      <c r="K74" s="2" t="s">
        <v>101</v>
      </c>
      <c r="L74" s="6" t="s">
        <v>1</v>
      </c>
      <c r="M74" s="2" t="s">
        <v>1</v>
      </c>
      <c r="N74" s="2" t="s">
        <v>470</v>
      </c>
      <c r="O74" s="16" t="s">
        <v>471</v>
      </c>
      <c r="P74" s="2" t="s">
        <v>104</v>
      </c>
      <c r="Q74" s="5">
        <v>1260</v>
      </c>
      <c r="R74" s="5">
        <v>50</v>
      </c>
      <c r="S74" s="5">
        <v>20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1330</v>
      </c>
      <c r="AG74" s="2" t="s">
        <v>1</v>
      </c>
      <c r="AH74" s="2" t="s">
        <v>472</v>
      </c>
      <c r="AI74" s="2" t="s">
        <v>1</v>
      </c>
      <c r="AJ74" s="2" t="s">
        <v>473</v>
      </c>
      <c r="AK74" s="2" t="s">
        <v>1</v>
      </c>
      <c r="AL74" s="2" t="s">
        <v>1</v>
      </c>
    </row>
    <row r="75" ht="17.5" customHeight="1" spans="1:38">
      <c r="A75" s="2" t="s">
        <v>474</v>
      </c>
      <c r="B75" s="2" t="s">
        <v>112</v>
      </c>
      <c r="C75" s="2" t="s">
        <v>158</v>
      </c>
      <c r="D75" s="2" t="s">
        <v>366</v>
      </c>
      <c r="E75" s="2" t="s">
        <v>367</v>
      </c>
      <c r="F75" s="2" t="s">
        <v>367</v>
      </c>
      <c r="G75" s="15" t="str">
        <f>VLOOKUP(F75,'[1]202501入账'!$A:$G,5,0)</f>
        <v>生态运营中心</v>
      </c>
      <c r="H75" s="15" t="str">
        <f>VLOOKUP(F75,'[1]202501入账'!$A:$G,6,0)</f>
        <v>KA运营组</v>
      </c>
      <c r="I75" s="6">
        <v>45668.4451388889</v>
      </c>
      <c r="J75" s="6">
        <v>45670.3125</v>
      </c>
      <c r="K75" s="2" t="s">
        <v>101</v>
      </c>
      <c r="L75" s="6" t="s">
        <v>1</v>
      </c>
      <c r="M75" s="2" t="s">
        <v>1</v>
      </c>
      <c r="N75" s="2" t="s">
        <v>368</v>
      </c>
      <c r="O75" s="16" t="s">
        <v>475</v>
      </c>
      <c r="P75" s="2" t="s">
        <v>104</v>
      </c>
      <c r="Q75" s="5">
        <v>1410</v>
      </c>
      <c r="R75" s="5">
        <v>50</v>
      </c>
      <c r="S75" s="5">
        <v>20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3</v>
      </c>
      <c r="AC75" s="5">
        <v>0</v>
      </c>
      <c r="AD75" s="5">
        <v>0</v>
      </c>
      <c r="AE75" s="5">
        <v>0</v>
      </c>
      <c r="AF75" s="5">
        <v>1483</v>
      </c>
      <c r="AG75" s="2" t="s">
        <v>1</v>
      </c>
      <c r="AH75" s="2" t="s">
        <v>476</v>
      </c>
      <c r="AI75" s="2" t="s">
        <v>1</v>
      </c>
      <c r="AJ75" s="2" t="s">
        <v>477</v>
      </c>
      <c r="AK75" s="2" t="s">
        <v>1</v>
      </c>
      <c r="AL75" s="2" t="s">
        <v>1</v>
      </c>
    </row>
    <row r="76" ht="17.5" customHeight="1" spans="1:38">
      <c r="A76" s="2" t="s">
        <v>478</v>
      </c>
      <c r="B76" s="2" t="s">
        <v>121</v>
      </c>
      <c r="C76" s="2" t="s">
        <v>158</v>
      </c>
      <c r="D76" s="2" t="s">
        <v>174</v>
      </c>
      <c r="E76" s="2" t="s">
        <v>175</v>
      </c>
      <c r="F76" s="2" t="s">
        <v>175</v>
      </c>
      <c r="G76" s="15" t="str">
        <f>VLOOKUP(F76,'[1]202501入账'!$A:$G,5,0)</f>
        <v>中心负责人</v>
      </c>
      <c r="H76" s="15" t="str">
        <f>VLOOKUP(F76,'[1]202501入账'!$A:$G,6,0)</f>
        <v/>
      </c>
      <c r="I76" s="6">
        <v>45668.5548611111</v>
      </c>
      <c r="J76" s="6">
        <v>45669.6666666667</v>
      </c>
      <c r="K76" s="2" t="s">
        <v>101</v>
      </c>
      <c r="L76" s="6" t="s">
        <v>1</v>
      </c>
      <c r="M76" s="2" t="s">
        <v>1</v>
      </c>
      <c r="N76" s="2" t="s">
        <v>116</v>
      </c>
      <c r="O76" s="16" t="s">
        <v>479</v>
      </c>
      <c r="P76" s="2" t="s">
        <v>104</v>
      </c>
      <c r="Q76" s="5">
        <v>2655</v>
      </c>
      <c r="R76" s="5">
        <v>50</v>
      </c>
      <c r="S76" s="5">
        <v>20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3</v>
      </c>
      <c r="AC76" s="5">
        <v>0</v>
      </c>
      <c r="AD76" s="5">
        <v>0</v>
      </c>
      <c r="AE76" s="5">
        <v>0</v>
      </c>
      <c r="AF76" s="5">
        <v>2728</v>
      </c>
      <c r="AG76" s="2" t="s">
        <v>1</v>
      </c>
      <c r="AH76" s="2" t="s">
        <v>480</v>
      </c>
      <c r="AI76" s="2" t="s">
        <v>1</v>
      </c>
      <c r="AJ76" s="2" t="s">
        <v>481</v>
      </c>
      <c r="AK76" s="2" t="s">
        <v>1</v>
      </c>
      <c r="AL76" s="2" t="s">
        <v>1</v>
      </c>
    </row>
    <row r="77" ht="17.5" customHeight="1" spans="1:38">
      <c r="A77" s="8" t="s">
        <v>482</v>
      </c>
      <c r="B77" s="8" t="s">
        <v>98</v>
      </c>
      <c r="C77" s="8" t="s">
        <v>1</v>
      </c>
      <c r="D77" s="8" t="s">
        <v>174</v>
      </c>
      <c r="E77" s="8" t="s">
        <v>175</v>
      </c>
      <c r="F77" s="8" t="s">
        <v>175</v>
      </c>
      <c r="G77" s="15" t="str">
        <f>VLOOKUP(F77,'[1]202501入账'!$A:$G,5,0)</f>
        <v>中心负责人</v>
      </c>
      <c r="H77" s="15" t="str">
        <f>VLOOKUP(F77,'[1]202501入账'!$A:$G,6,0)</f>
        <v/>
      </c>
      <c r="I77" s="10">
        <v>45668.5548611111</v>
      </c>
      <c r="J77" s="10">
        <v>45670.8333333333</v>
      </c>
      <c r="K77" s="8" t="s">
        <v>101</v>
      </c>
      <c r="L77" s="10" t="s">
        <v>1</v>
      </c>
      <c r="M77" s="8" t="s">
        <v>1</v>
      </c>
      <c r="N77" s="8" t="s">
        <v>176</v>
      </c>
      <c r="O77" s="8" t="s">
        <v>483</v>
      </c>
      <c r="P77" s="8" t="s">
        <v>104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1170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1170</v>
      </c>
      <c r="AG77" s="8" t="s">
        <v>306</v>
      </c>
      <c r="AH77" s="8" t="s">
        <v>484</v>
      </c>
      <c r="AI77" s="8" t="s">
        <v>1</v>
      </c>
      <c r="AJ77" s="8" t="s">
        <v>1</v>
      </c>
      <c r="AK77" s="8" t="s">
        <v>1</v>
      </c>
      <c r="AL77" s="8" t="s">
        <v>1</v>
      </c>
    </row>
    <row r="78" ht="17.5" customHeight="1" spans="1:38">
      <c r="A78" s="2" t="s">
        <v>485</v>
      </c>
      <c r="B78" s="2" t="s">
        <v>121</v>
      </c>
      <c r="C78" s="2" t="s">
        <v>1</v>
      </c>
      <c r="D78" s="2" t="s">
        <v>486</v>
      </c>
      <c r="E78" s="2" t="s">
        <v>487</v>
      </c>
      <c r="F78" s="2" t="s">
        <v>487</v>
      </c>
      <c r="G78" s="15" t="str">
        <f>VLOOKUP(F78,'[1]202501入账'!$A:$G,5,0)</f>
        <v>生态运营中心</v>
      </c>
      <c r="H78" s="15" t="str">
        <f>VLOOKUP(F78,'[1]202501入账'!$A:$G,6,0)</f>
        <v>KA运营组</v>
      </c>
      <c r="I78" s="6">
        <v>45668.6701388889</v>
      </c>
      <c r="J78" s="6">
        <v>45672.8541666667</v>
      </c>
      <c r="K78" s="2" t="s">
        <v>101</v>
      </c>
      <c r="L78" s="6" t="s">
        <v>1</v>
      </c>
      <c r="M78" s="2" t="s">
        <v>1</v>
      </c>
      <c r="N78" s="2" t="s">
        <v>368</v>
      </c>
      <c r="O78" s="16" t="s">
        <v>488</v>
      </c>
      <c r="P78" s="2" t="s">
        <v>104</v>
      </c>
      <c r="Q78" s="5">
        <v>1000</v>
      </c>
      <c r="R78" s="5">
        <v>50</v>
      </c>
      <c r="S78" s="5">
        <v>20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30</v>
      </c>
      <c r="AD78" s="5">
        <v>0</v>
      </c>
      <c r="AE78" s="5">
        <v>0</v>
      </c>
      <c r="AF78" s="5">
        <v>1100</v>
      </c>
      <c r="AG78" s="2" t="s">
        <v>1</v>
      </c>
      <c r="AH78" s="2" t="s">
        <v>489</v>
      </c>
      <c r="AI78" s="2" t="s">
        <v>1</v>
      </c>
      <c r="AJ78" s="2" t="s">
        <v>490</v>
      </c>
      <c r="AK78" s="2" t="s">
        <v>1</v>
      </c>
      <c r="AL78" s="2" t="s">
        <v>1</v>
      </c>
    </row>
    <row r="79" ht="17.5" customHeight="1" spans="1:38">
      <c r="A79" s="2" t="s">
        <v>491</v>
      </c>
      <c r="B79" s="2" t="s">
        <v>121</v>
      </c>
      <c r="C79" s="2" t="s">
        <v>1</v>
      </c>
      <c r="D79" s="2" t="s">
        <v>492</v>
      </c>
      <c r="E79" s="2" t="s">
        <v>493</v>
      </c>
      <c r="F79" s="2" t="s">
        <v>493</v>
      </c>
      <c r="G79" s="15" t="str">
        <f>VLOOKUP(F79,'[1]202501入账'!$A:$G,5,0)</f>
        <v>自营销售中心</v>
      </c>
      <c r="H79" s="15" t="str">
        <f>VLOOKUP(F79,'[1]202501入账'!$A:$G,6,0)</f>
        <v>LA销售组</v>
      </c>
      <c r="I79" s="6">
        <v>45668.6708333333</v>
      </c>
      <c r="J79" s="6">
        <v>45672.8541666667</v>
      </c>
      <c r="K79" s="2" t="s">
        <v>101</v>
      </c>
      <c r="L79" s="6" t="s">
        <v>1</v>
      </c>
      <c r="M79" s="2" t="s">
        <v>1</v>
      </c>
      <c r="N79" s="2" t="s">
        <v>368</v>
      </c>
      <c r="O79" s="16" t="s">
        <v>488</v>
      </c>
      <c r="P79" s="2" t="s">
        <v>104</v>
      </c>
      <c r="Q79" s="5">
        <v>1000</v>
      </c>
      <c r="R79" s="5">
        <v>50</v>
      </c>
      <c r="S79" s="5">
        <v>20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1070</v>
      </c>
      <c r="AG79" s="2" t="s">
        <v>1</v>
      </c>
      <c r="AH79" s="2" t="s">
        <v>494</v>
      </c>
      <c r="AI79" s="2" t="s">
        <v>1</v>
      </c>
      <c r="AJ79" s="2" t="s">
        <v>495</v>
      </c>
      <c r="AK79" s="2" t="s">
        <v>1</v>
      </c>
      <c r="AL79" s="2" t="s">
        <v>1</v>
      </c>
    </row>
    <row r="80" ht="17.5" customHeight="1" spans="1:38">
      <c r="A80" s="2" t="s">
        <v>496</v>
      </c>
      <c r="B80" s="2" t="s">
        <v>121</v>
      </c>
      <c r="C80" s="2" t="s">
        <v>1</v>
      </c>
      <c r="D80" s="2" t="s">
        <v>497</v>
      </c>
      <c r="E80" s="2" t="s">
        <v>498</v>
      </c>
      <c r="F80" s="2" t="s">
        <v>498</v>
      </c>
      <c r="G80" s="15" t="str">
        <f>VLOOKUP(F80,'[1]202501入账'!$A:$G,5,0)</f>
        <v>自营销售中心</v>
      </c>
      <c r="H80" s="15" t="str">
        <f>VLOOKUP(F80,'[1]202501入账'!$A:$G,6,0)</f>
        <v>业务经理组</v>
      </c>
      <c r="I80" s="6">
        <v>45668.6743055556</v>
      </c>
      <c r="J80" s="6">
        <v>45672.8541666667</v>
      </c>
      <c r="K80" s="2" t="s">
        <v>101</v>
      </c>
      <c r="L80" s="6" t="s">
        <v>1</v>
      </c>
      <c r="M80" s="2" t="s">
        <v>1</v>
      </c>
      <c r="N80" s="2" t="s">
        <v>368</v>
      </c>
      <c r="O80" s="16" t="s">
        <v>488</v>
      </c>
      <c r="P80" s="2" t="s">
        <v>104</v>
      </c>
      <c r="Q80" s="5">
        <v>1000</v>
      </c>
      <c r="R80" s="5">
        <v>50</v>
      </c>
      <c r="S80" s="5">
        <v>20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1070</v>
      </c>
      <c r="AG80" s="2" t="s">
        <v>1</v>
      </c>
      <c r="AH80" s="2" t="s">
        <v>499</v>
      </c>
      <c r="AI80" s="2" t="s">
        <v>1</v>
      </c>
      <c r="AJ80" s="2" t="s">
        <v>500</v>
      </c>
      <c r="AK80" s="2" t="s">
        <v>1</v>
      </c>
      <c r="AL80" s="2" t="s">
        <v>1</v>
      </c>
    </row>
    <row r="81" ht="17.5" customHeight="1" spans="1:38">
      <c r="A81" s="2" t="s">
        <v>501</v>
      </c>
      <c r="B81" s="2" t="s">
        <v>121</v>
      </c>
      <c r="C81" s="2" t="s">
        <v>1</v>
      </c>
      <c r="D81" s="2" t="s">
        <v>486</v>
      </c>
      <c r="E81" s="2" t="s">
        <v>487</v>
      </c>
      <c r="F81" s="2" t="s">
        <v>487</v>
      </c>
      <c r="G81" s="15" t="str">
        <f>VLOOKUP(F81,'[1]202501入账'!$A:$G,5,0)</f>
        <v>生态运营中心</v>
      </c>
      <c r="H81" s="15" t="str">
        <f>VLOOKUP(F81,'[1]202501入账'!$A:$G,6,0)</f>
        <v>KA运营组</v>
      </c>
      <c r="I81" s="6">
        <v>45668.7340277778</v>
      </c>
      <c r="J81" s="6">
        <v>45676.7708333333</v>
      </c>
      <c r="K81" s="2" t="s">
        <v>101</v>
      </c>
      <c r="L81" s="6" t="s">
        <v>1</v>
      </c>
      <c r="M81" s="2" t="s">
        <v>1</v>
      </c>
      <c r="N81" s="2" t="s">
        <v>164</v>
      </c>
      <c r="O81" s="16" t="s">
        <v>502</v>
      </c>
      <c r="P81" s="2" t="s">
        <v>104</v>
      </c>
      <c r="Q81" s="5">
        <v>860</v>
      </c>
      <c r="R81" s="5">
        <v>50</v>
      </c>
      <c r="S81" s="5">
        <v>20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30</v>
      </c>
      <c r="AD81" s="5">
        <v>0</v>
      </c>
      <c r="AE81" s="5">
        <v>0</v>
      </c>
      <c r="AF81" s="5">
        <v>960</v>
      </c>
      <c r="AG81" s="2" t="s">
        <v>1</v>
      </c>
      <c r="AH81" s="2" t="s">
        <v>503</v>
      </c>
      <c r="AI81" s="2" t="s">
        <v>1</v>
      </c>
      <c r="AJ81" s="2" t="s">
        <v>504</v>
      </c>
      <c r="AK81" s="2" t="s">
        <v>1</v>
      </c>
      <c r="AL81" s="2" t="s">
        <v>1</v>
      </c>
    </row>
    <row r="82" ht="17.5" customHeight="1" spans="1:38">
      <c r="A82" s="2" t="s">
        <v>505</v>
      </c>
      <c r="B82" s="2" t="s">
        <v>121</v>
      </c>
      <c r="C82" s="2" t="s">
        <v>1</v>
      </c>
      <c r="D82" s="2" t="s">
        <v>506</v>
      </c>
      <c r="E82" s="2" t="s">
        <v>507</v>
      </c>
      <c r="F82" s="2" t="s">
        <v>507</v>
      </c>
      <c r="G82" s="15" t="str">
        <f>VLOOKUP(F82,'[1]202501入账'!$A:$G,5,0)</f>
        <v>生态运营中心</v>
      </c>
      <c r="H82" s="15" t="str">
        <f>VLOOKUP(F82,'[1]202501入账'!$A:$G,6,0)</f>
        <v>KA运营组</v>
      </c>
      <c r="I82" s="6">
        <v>45668.8777777778</v>
      </c>
      <c r="J82" s="6">
        <v>45672.3958333333</v>
      </c>
      <c r="K82" s="2" t="s">
        <v>101</v>
      </c>
      <c r="L82" s="6" t="s">
        <v>1</v>
      </c>
      <c r="M82" s="2" t="s">
        <v>1</v>
      </c>
      <c r="N82" s="2" t="s">
        <v>176</v>
      </c>
      <c r="O82" s="16" t="s">
        <v>508</v>
      </c>
      <c r="P82" s="2" t="s">
        <v>104</v>
      </c>
      <c r="Q82" s="5">
        <v>1100</v>
      </c>
      <c r="R82" s="5">
        <v>50</v>
      </c>
      <c r="S82" s="5">
        <v>20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30</v>
      </c>
      <c r="AD82" s="5">
        <v>0</v>
      </c>
      <c r="AE82" s="5">
        <v>0</v>
      </c>
      <c r="AF82" s="5">
        <v>1200</v>
      </c>
      <c r="AG82" s="2" t="s">
        <v>1</v>
      </c>
      <c r="AH82" s="2" t="s">
        <v>509</v>
      </c>
      <c r="AI82" s="2" t="s">
        <v>1</v>
      </c>
      <c r="AJ82" s="2" t="s">
        <v>510</v>
      </c>
      <c r="AK82" s="2" t="s">
        <v>1</v>
      </c>
      <c r="AL82" s="2" t="s">
        <v>1</v>
      </c>
    </row>
    <row r="83" ht="17.5" customHeight="1" spans="1:38">
      <c r="A83" s="2" t="s">
        <v>511</v>
      </c>
      <c r="B83" s="2" t="s">
        <v>121</v>
      </c>
      <c r="C83" s="2" t="s">
        <v>1</v>
      </c>
      <c r="D83" s="2" t="s">
        <v>512</v>
      </c>
      <c r="E83" s="2" t="s">
        <v>513</v>
      </c>
      <c r="F83" s="2" t="s">
        <v>513</v>
      </c>
      <c r="G83" s="15" t="str">
        <f>VLOOKUP(F83,'[1]202501入账'!$A:$G,5,0)</f>
        <v>生态运营中心</v>
      </c>
      <c r="H83" s="15" t="str">
        <f>VLOOKUP(F83,'[1]202501入账'!$A:$G,6,0)</f>
        <v/>
      </c>
      <c r="I83" s="6">
        <v>45668.9590277778</v>
      </c>
      <c r="J83" s="6">
        <v>45672.4791666667</v>
      </c>
      <c r="K83" s="2" t="s">
        <v>101</v>
      </c>
      <c r="L83" s="6" t="s">
        <v>1</v>
      </c>
      <c r="M83" s="2" t="s">
        <v>1</v>
      </c>
      <c r="N83" s="2" t="s">
        <v>176</v>
      </c>
      <c r="O83" s="16" t="s">
        <v>514</v>
      </c>
      <c r="P83" s="2" t="s">
        <v>104</v>
      </c>
      <c r="Q83" s="5">
        <v>1590</v>
      </c>
      <c r="R83" s="5">
        <v>50</v>
      </c>
      <c r="S83" s="5">
        <v>20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30</v>
      </c>
      <c r="AD83" s="5">
        <v>0</v>
      </c>
      <c r="AE83" s="5">
        <v>0</v>
      </c>
      <c r="AF83" s="5">
        <v>1690</v>
      </c>
      <c r="AG83" s="2" t="s">
        <v>1</v>
      </c>
      <c r="AH83" s="2" t="s">
        <v>515</v>
      </c>
      <c r="AI83" s="2" t="s">
        <v>1</v>
      </c>
      <c r="AJ83" s="2" t="s">
        <v>516</v>
      </c>
      <c r="AK83" s="2" t="s">
        <v>1</v>
      </c>
      <c r="AL83" s="2" t="s">
        <v>1</v>
      </c>
    </row>
    <row r="84" ht="17.5" customHeight="1" spans="1:38">
      <c r="A84" s="2" t="s">
        <v>517</v>
      </c>
      <c r="B84" s="2" t="s">
        <v>121</v>
      </c>
      <c r="C84" s="2" t="s">
        <v>1</v>
      </c>
      <c r="D84" s="2" t="s">
        <v>174</v>
      </c>
      <c r="E84" s="2" t="s">
        <v>175</v>
      </c>
      <c r="F84" s="2" t="s">
        <v>175</v>
      </c>
      <c r="G84" s="15" t="str">
        <f>VLOOKUP(F84,'[1]202501入账'!$A:$G,5,0)</f>
        <v>中心负责人</v>
      </c>
      <c r="H84" s="15" t="str">
        <f>VLOOKUP(F84,'[1]202501入账'!$A:$G,6,0)</f>
        <v/>
      </c>
      <c r="I84" s="6">
        <v>45669.6611111111</v>
      </c>
      <c r="J84" s="6">
        <v>45670.625</v>
      </c>
      <c r="K84" s="2" t="s">
        <v>101</v>
      </c>
      <c r="L84" s="6" t="s">
        <v>1</v>
      </c>
      <c r="M84" s="2" t="s">
        <v>1</v>
      </c>
      <c r="N84" s="2" t="s">
        <v>176</v>
      </c>
      <c r="O84" s="16" t="s">
        <v>518</v>
      </c>
      <c r="P84" s="2" t="s">
        <v>104</v>
      </c>
      <c r="Q84" s="5">
        <v>1980</v>
      </c>
      <c r="R84" s="5">
        <v>50</v>
      </c>
      <c r="S84" s="5">
        <v>20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2050</v>
      </c>
      <c r="AG84" s="2" t="s">
        <v>1</v>
      </c>
      <c r="AH84" s="2" t="s">
        <v>519</v>
      </c>
      <c r="AI84" s="2" t="s">
        <v>1</v>
      </c>
      <c r="AJ84" s="2" t="s">
        <v>520</v>
      </c>
      <c r="AK84" s="2" t="s">
        <v>1</v>
      </c>
      <c r="AL84" s="2" t="s">
        <v>1</v>
      </c>
    </row>
    <row r="85" ht="17.5" customHeight="1" spans="1:38">
      <c r="A85" s="8" t="s">
        <v>521</v>
      </c>
      <c r="B85" s="8" t="s">
        <v>98</v>
      </c>
      <c r="C85" s="8" t="s">
        <v>1</v>
      </c>
      <c r="D85" s="8" t="s">
        <v>522</v>
      </c>
      <c r="E85" s="8" t="s">
        <v>523</v>
      </c>
      <c r="F85" s="8" t="s">
        <v>523</v>
      </c>
      <c r="G85" s="15" t="str">
        <f>VLOOKUP(F85,'[1]202501入账'!$A:$G,5,0)</f>
        <v>中心负责人</v>
      </c>
      <c r="H85" s="15" t="str">
        <f>VLOOKUP(F85,'[1]202501入账'!$A:$G,6,0)</f>
        <v/>
      </c>
      <c r="I85" s="10">
        <v>45669.7472222222</v>
      </c>
      <c r="J85" s="10">
        <v>45675.53125</v>
      </c>
      <c r="K85" s="8" t="s">
        <v>101</v>
      </c>
      <c r="L85" s="10" t="s">
        <v>1</v>
      </c>
      <c r="M85" s="8" t="s">
        <v>1</v>
      </c>
      <c r="N85" s="8" t="s">
        <v>164</v>
      </c>
      <c r="O85" s="8" t="s">
        <v>165</v>
      </c>
      <c r="P85" s="8" t="s">
        <v>104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294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294</v>
      </c>
      <c r="AG85" s="8" t="s">
        <v>306</v>
      </c>
      <c r="AH85" s="8" t="s">
        <v>524</v>
      </c>
      <c r="AI85" s="8" t="s">
        <v>1</v>
      </c>
      <c r="AJ85" s="8" t="s">
        <v>1</v>
      </c>
      <c r="AK85" s="8" t="s">
        <v>1</v>
      </c>
      <c r="AL85" s="8" t="s">
        <v>1</v>
      </c>
    </row>
    <row r="86" ht="17.5" customHeight="1" spans="1:38">
      <c r="A86" s="2" t="s">
        <v>525</v>
      </c>
      <c r="B86" s="2" t="s">
        <v>112</v>
      </c>
      <c r="C86" s="2" t="s">
        <v>379</v>
      </c>
      <c r="D86" s="2" t="s">
        <v>526</v>
      </c>
      <c r="E86" s="2" t="s">
        <v>527</v>
      </c>
      <c r="F86" s="2" t="s">
        <v>527</v>
      </c>
      <c r="G86" s="15" t="str">
        <f>VLOOKUP(F86,'[1]202501入账'!$A:$G,5,0)</f>
        <v>KA销售中心</v>
      </c>
      <c r="H86" s="15" t="str">
        <f>VLOOKUP(F86,'[1]202501入账'!$A:$G,6,0)</f>
        <v>渠道合作组-华南区</v>
      </c>
      <c r="I86" s="6">
        <v>45669.8034722222</v>
      </c>
      <c r="J86" s="6">
        <v>45673.8020833333</v>
      </c>
      <c r="K86" s="2" t="s">
        <v>101</v>
      </c>
      <c r="L86" s="6" t="s">
        <v>1</v>
      </c>
      <c r="M86" s="2" t="s">
        <v>1</v>
      </c>
      <c r="N86" s="2" t="s">
        <v>116</v>
      </c>
      <c r="O86" s="16" t="s">
        <v>273</v>
      </c>
      <c r="P86" s="2" t="s">
        <v>104</v>
      </c>
      <c r="Q86" s="5">
        <v>1740</v>
      </c>
      <c r="R86" s="5">
        <v>50</v>
      </c>
      <c r="S86" s="5">
        <v>20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3</v>
      </c>
      <c r="AC86" s="5">
        <v>0</v>
      </c>
      <c r="AD86" s="5">
        <v>0</v>
      </c>
      <c r="AE86" s="5">
        <v>0</v>
      </c>
      <c r="AF86" s="5">
        <v>1813</v>
      </c>
      <c r="AG86" s="2" t="s">
        <v>1</v>
      </c>
      <c r="AH86" s="2" t="s">
        <v>528</v>
      </c>
      <c r="AI86" s="2" t="s">
        <v>1</v>
      </c>
      <c r="AJ86" s="2" t="s">
        <v>529</v>
      </c>
      <c r="AK86" s="2" t="s">
        <v>1</v>
      </c>
      <c r="AL86" s="2" t="s">
        <v>1</v>
      </c>
    </row>
    <row r="87" ht="17.5" customHeight="1" spans="1:38">
      <c r="A87" s="2" t="s">
        <v>530</v>
      </c>
      <c r="B87" s="2" t="s">
        <v>112</v>
      </c>
      <c r="C87" s="2" t="s">
        <v>379</v>
      </c>
      <c r="D87" s="2" t="s">
        <v>531</v>
      </c>
      <c r="E87" s="2" t="s">
        <v>532</v>
      </c>
      <c r="F87" s="2" t="s">
        <v>532</v>
      </c>
      <c r="G87" s="15" t="str">
        <f>VLOOKUP(F87,'[1]202501入账'!$A:$G,5,0)</f>
        <v>KA销售中心</v>
      </c>
      <c r="H87" s="15" t="str">
        <f>VLOOKUP(F87,'[1]202501入账'!$A:$G,6,0)</f>
        <v>渠道合作组-华南区</v>
      </c>
      <c r="I87" s="6">
        <v>45669.8201388889</v>
      </c>
      <c r="J87" s="6">
        <v>45673.8854166667</v>
      </c>
      <c r="K87" s="2" t="s">
        <v>101</v>
      </c>
      <c r="L87" s="6" t="s">
        <v>1</v>
      </c>
      <c r="M87" s="2" t="s">
        <v>1</v>
      </c>
      <c r="N87" s="2" t="s">
        <v>116</v>
      </c>
      <c r="O87" s="16" t="s">
        <v>533</v>
      </c>
      <c r="P87" s="2" t="s">
        <v>104</v>
      </c>
      <c r="Q87" s="5">
        <v>1510</v>
      </c>
      <c r="R87" s="5">
        <v>50</v>
      </c>
      <c r="S87" s="5">
        <v>20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3</v>
      </c>
      <c r="AC87" s="5">
        <v>30</v>
      </c>
      <c r="AD87" s="5">
        <v>0</v>
      </c>
      <c r="AE87" s="5">
        <v>0</v>
      </c>
      <c r="AF87" s="5">
        <v>1613</v>
      </c>
      <c r="AG87" s="2" t="s">
        <v>1</v>
      </c>
      <c r="AH87" s="2" t="s">
        <v>534</v>
      </c>
      <c r="AI87" s="2" t="s">
        <v>1</v>
      </c>
      <c r="AJ87" s="2" t="s">
        <v>535</v>
      </c>
      <c r="AK87" s="2" t="s">
        <v>1</v>
      </c>
      <c r="AL87" s="2" t="s">
        <v>1</v>
      </c>
    </row>
    <row r="88" ht="17.5" customHeight="1" spans="1:38">
      <c r="A88" s="2" t="s">
        <v>536</v>
      </c>
      <c r="B88" s="2" t="s">
        <v>112</v>
      </c>
      <c r="C88" s="2" t="s">
        <v>379</v>
      </c>
      <c r="D88" s="2" t="s">
        <v>537</v>
      </c>
      <c r="E88" s="2" t="s">
        <v>538</v>
      </c>
      <c r="F88" s="2" t="s">
        <v>538</v>
      </c>
      <c r="G88" s="15" t="str">
        <f>VLOOKUP(F88,'[1]202501入账'!$A:$G,5,0)</f>
        <v>KA销售中心</v>
      </c>
      <c r="H88" s="15" t="str">
        <f>VLOOKUP(F88,'[1]202501入账'!$A:$G,6,0)</f>
        <v>渠道合作组-华南区</v>
      </c>
      <c r="I88" s="6">
        <v>45669.9180555556</v>
      </c>
      <c r="J88" s="6">
        <v>45673.8854166667</v>
      </c>
      <c r="K88" s="2" t="s">
        <v>101</v>
      </c>
      <c r="L88" s="6" t="s">
        <v>1</v>
      </c>
      <c r="M88" s="2" t="s">
        <v>1</v>
      </c>
      <c r="N88" s="2" t="s">
        <v>116</v>
      </c>
      <c r="O88" s="16" t="s">
        <v>533</v>
      </c>
      <c r="P88" s="2" t="s">
        <v>104</v>
      </c>
      <c r="Q88" s="5">
        <v>1510</v>
      </c>
      <c r="R88" s="5">
        <v>50</v>
      </c>
      <c r="S88" s="5">
        <v>20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3</v>
      </c>
      <c r="AC88" s="5">
        <v>30</v>
      </c>
      <c r="AD88" s="5">
        <v>0</v>
      </c>
      <c r="AE88" s="5">
        <v>0</v>
      </c>
      <c r="AF88" s="5">
        <v>1613</v>
      </c>
      <c r="AG88" s="2" t="s">
        <v>1</v>
      </c>
      <c r="AH88" s="2" t="s">
        <v>539</v>
      </c>
      <c r="AI88" s="2" t="s">
        <v>1</v>
      </c>
      <c r="AJ88" s="2" t="s">
        <v>540</v>
      </c>
      <c r="AK88" s="2" t="s">
        <v>1</v>
      </c>
      <c r="AL88" s="2" t="s">
        <v>1</v>
      </c>
    </row>
    <row r="89" ht="17.5" customHeight="1" spans="1:38">
      <c r="A89" s="2" t="s">
        <v>541</v>
      </c>
      <c r="B89" s="2" t="s">
        <v>112</v>
      </c>
      <c r="C89" s="2" t="s">
        <v>379</v>
      </c>
      <c r="D89" s="2" t="s">
        <v>542</v>
      </c>
      <c r="E89" s="2" t="s">
        <v>543</v>
      </c>
      <c r="F89" s="2" t="s">
        <v>543</v>
      </c>
      <c r="G89" s="15" t="str">
        <f>VLOOKUP(F89,'[1]202501入账'!$A:$G,5,0)</f>
        <v>KA销售中心</v>
      </c>
      <c r="H89" s="15" t="str">
        <f>VLOOKUP(F89,'[1]202501入账'!$A:$G,6,0)</f>
        <v>渠道合作组-华南区</v>
      </c>
      <c r="I89" s="6">
        <v>45669.9215277778</v>
      </c>
      <c r="J89" s="6">
        <v>45673.8854166667</v>
      </c>
      <c r="K89" s="2" t="s">
        <v>101</v>
      </c>
      <c r="L89" s="6" t="s">
        <v>1</v>
      </c>
      <c r="M89" s="2" t="s">
        <v>1</v>
      </c>
      <c r="N89" s="2" t="s">
        <v>116</v>
      </c>
      <c r="O89" s="16" t="s">
        <v>533</v>
      </c>
      <c r="P89" s="2" t="s">
        <v>104</v>
      </c>
      <c r="Q89" s="5">
        <v>1510</v>
      </c>
      <c r="R89" s="5">
        <v>50</v>
      </c>
      <c r="S89" s="5">
        <v>20</v>
      </c>
      <c r="T89" s="5">
        <v>0</v>
      </c>
      <c r="U89" s="5">
        <v>40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3</v>
      </c>
      <c r="AC89" s="5">
        <v>30</v>
      </c>
      <c r="AD89" s="5">
        <v>0</v>
      </c>
      <c r="AE89" s="5">
        <v>0</v>
      </c>
      <c r="AF89" s="5">
        <v>1653</v>
      </c>
      <c r="AG89" s="2" t="s">
        <v>1</v>
      </c>
      <c r="AH89" s="2" t="s">
        <v>544</v>
      </c>
      <c r="AI89" s="2" t="s">
        <v>1</v>
      </c>
      <c r="AJ89" s="2" t="s">
        <v>545</v>
      </c>
      <c r="AK89" s="2" t="s">
        <v>1</v>
      </c>
      <c r="AL89" s="2" t="s">
        <v>1</v>
      </c>
    </row>
    <row r="90" ht="17.5" customHeight="1" spans="1:38">
      <c r="A90" s="8" t="s">
        <v>546</v>
      </c>
      <c r="B90" s="8" t="s">
        <v>98</v>
      </c>
      <c r="C90" s="8" t="s">
        <v>1</v>
      </c>
      <c r="D90" s="8" t="s">
        <v>271</v>
      </c>
      <c r="E90" s="8" t="s">
        <v>272</v>
      </c>
      <c r="F90" s="8" t="s">
        <v>272</v>
      </c>
      <c r="G90" s="15" t="str">
        <f>VLOOKUP(F90,'[1]202501入账'!$A:$G,5,0)</f>
        <v>KA销售中心</v>
      </c>
      <c r="H90" s="15" t="str">
        <f>VLOOKUP(F90,'[1]202501入账'!$A:$G,6,0)</f>
        <v>渠道合作组-华南区</v>
      </c>
      <c r="I90" s="10">
        <v>45669.9395833333</v>
      </c>
      <c r="J90" s="10">
        <v>45673.875</v>
      </c>
      <c r="K90" s="8" t="s">
        <v>101</v>
      </c>
      <c r="L90" s="10" t="s">
        <v>1</v>
      </c>
      <c r="M90" s="8" t="s">
        <v>1</v>
      </c>
      <c r="N90" s="8" t="s">
        <v>116</v>
      </c>
      <c r="O90" s="8" t="s">
        <v>309</v>
      </c>
      <c r="P90" s="8" t="s">
        <v>104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8" t="s">
        <v>306</v>
      </c>
      <c r="AH90" s="8" t="s">
        <v>547</v>
      </c>
      <c r="AI90" s="8" t="s">
        <v>1</v>
      </c>
      <c r="AJ90" s="8" t="s">
        <v>1</v>
      </c>
      <c r="AK90" s="8" t="s">
        <v>1</v>
      </c>
      <c r="AL90" s="8" t="s">
        <v>1</v>
      </c>
    </row>
    <row r="91" ht="17.5" customHeight="1" spans="1:38">
      <c r="A91" s="2" t="s">
        <v>548</v>
      </c>
      <c r="B91" s="2" t="s">
        <v>121</v>
      </c>
      <c r="C91" s="2" t="s">
        <v>1</v>
      </c>
      <c r="D91" s="2" t="s">
        <v>549</v>
      </c>
      <c r="E91" s="2" t="s">
        <v>550</v>
      </c>
      <c r="F91" s="2" t="s">
        <v>550</v>
      </c>
      <c r="G91" s="15" t="str">
        <f>VLOOKUP(F91,'[1]202501入账'!$A:$G,5,0)</f>
        <v>KA销售中心</v>
      </c>
      <c r="H91" s="15" t="str">
        <f>VLOOKUP(F91,'[1]202501入账'!$A:$G,6,0)</f>
        <v>渠道合作组-华南区</v>
      </c>
      <c r="I91" s="6">
        <v>45670.0451388889</v>
      </c>
      <c r="J91" s="6">
        <v>45673.8854166667</v>
      </c>
      <c r="K91" s="2" t="s">
        <v>101</v>
      </c>
      <c r="L91" s="6" t="s">
        <v>1</v>
      </c>
      <c r="M91" s="2" t="s">
        <v>1</v>
      </c>
      <c r="N91" s="2" t="s">
        <v>116</v>
      </c>
      <c r="O91" s="16" t="s">
        <v>533</v>
      </c>
      <c r="P91" s="2" t="s">
        <v>104</v>
      </c>
      <c r="Q91" s="5">
        <v>1590</v>
      </c>
      <c r="R91" s="5">
        <v>50</v>
      </c>
      <c r="S91" s="5">
        <v>20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30</v>
      </c>
      <c r="AD91" s="5">
        <v>0</v>
      </c>
      <c r="AE91" s="5">
        <v>0</v>
      </c>
      <c r="AF91" s="5">
        <v>1690</v>
      </c>
      <c r="AG91" s="2" t="s">
        <v>1</v>
      </c>
      <c r="AH91" s="2" t="s">
        <v>551</v>
      </c>
      <c r="AI91" s="2" t="s">
        <v>1</v>
      </c>
      <c r="AJ91" s="2" t="s">
        <v>552</v>
      </c>
      <c r="AK91" s="2" t="s">
        <v>1</v>
      </c>
      <c r="AL91" s="2" t="s">
        <v>1</v>
      </c>
    </row>
    <row r="92" ht="17.5" customHeight="1" spans="1:38">
      <c r="A92" s="2" t="s">
        <v>553</v>
      </c>
      <c r="B92" s="2" t="s">
        <v>121</v>
      </c>
      <c r="C92" s="2" t="s">
        <v>1</v>
      </c>
      <c r="D92" s="2" t="s">
        <v>526</v>
      </c>
      <c r="E92" s="2" t="s">
        <v>527</v>
      </c>
      <c r="F92" s="2" t="s">
        <v>527</v>
      </c>
      <c r="G92" s="15" t="str">
        <f>VLOOKUP(F92,'[1]202501入账'!$A:$G,5,0)</f>
        <v>KA销售中心</v>
      </c>
      <c r="H92" s="15" t="str">
        <f>VLOOKUP(F92,'[1]202501入账'!$A:$G,6,0)</f>
        <v>渠道合作组-华南区</v>
      </c>
      <c r="I92" s="6">
        <v>45670.7548611111</v>
      </c>
      <c r="J92" s="6">
        <v>45675.6041666667</v>
      </c>
      <c r="K92" s="2" t="s">
        <v>101</v>
      </c>
      <c r="L92" s="6" t="s">
        <v>1</v>
      </c>
      <c r="M92" s="2" t="s">
        <v>1</v>
      </c>
      <c r="N92" s="2" t="s">
        <v>176</v>
      </c>
      <c r="O92" s="16" t="s">
        <v>375</v>
      </c>
      <c r="P92" s="2" t="s">
        <v>104</v>
      </c>
      <c r="Q92" s="5">
        <v>1390</v>
      </c>
      <c r="R92" s="5">
        <v>50</v>
      </c>
      <c r="S92" s="5">
        <v>20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30</v>
      </c>
      <c r="AD92" s="5">
        <v>0</v>
      </c>
      <c r="AE92" s="5">
        <v>0</v>
      </c>
      <c r="AF92" s="5">
        <v>1490</v>
      </c>
      <c r="AG92" s="2" t="s">
        <v>1</v>
      </c>
      <c r="AH92" s="2" t="s">
        <v>554</v>
      </c>
      <c r="AI92" s="2" t="s">
        <v>1</v>
      </c>
      <c r="AJ92" s="2" t="s">
        <v>555</v>
      </c>
      <c r="AK92" s="2" t="s">
        <v>1</v>
      </c>
      <c r="AL92" s="2" t="s">
        <v>1</v>
      </c>
    </row>
    <row r="93" ht="17.5" customHeight="1" spans="1:38">
      <c r="A93" s="8" t="s">
        <v>556</v>
      </c>
      <c r="B93" s="8" t="s">
        <v>98</v>
      </c>
      <c r="C93" s="8" t="s">
        <v>1</v>
      </c>
      <c r="D93" s="8" t="s">
        <v>271</v>
      </c>
      <c r="E93" s="8" t="s">
        <v>272</v>
      </c>
      <c r="F93" s="8" t="s">
        <v>272</v>
      </c>
      <c r="G93" s="15" t="str">
        <f>VLOOKUP(F93,'[1]202501入账'!$A:$G,5,0)</f>
        <v>KA销售中心</v>
      </c>
      <c r="H93" s="15" t="str">
        <f>VLOOKUP(F93,'[1]202501入账'!$A:$G,6,0)</f>
        <v>渠道合作组-华南区</v>
      </c>
      <c r="I93" s="10">
        <v>45670.7569444444</v>
      </c>
      <c r="J93" s="10">
        <v>45675.6041666667</v>
      </c>
      <c r="K93" s="8" t="s">
        <v>101</v>
      </c>
      <c r="L93" s="10" t="s">
        <v>1</v>
      </c>
      <c r="M93" s="8" t="s">
        <v>1</v>
      </c>
      <c r="N93" s="8" t="s">
        <v>176</v>
      </c>
      <c r="O93" s="8" t="s">
        <v>375</v>
      </c>
      <c r="P93" s="8" t="s">
        <v>104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417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417</v>
      </c>
      <c r="AG93" s="8" t="s">
        <v>306</v>
      </c>
      <c r="AH93" s="8" t="s">
        <v>557</v>
      </c>
      <c r="AI93" s="8" t="s">
        <v>1</v>
      </c>
      <c r="AJ93" s="8" t="s">
        <v>1</v>
      </c>
      <c r="AK93" s="8" t="s">
        <v>1</v>
      </c>
      <c r="AL93" s="8" t="s">
        <v>1</v>
      </c>
    </row>
    <row r="94" ht="17.5" customHeight="1" spans="1:38">
      <c r="A94" s="2" t="s">
        <v>558</v>
      </c>
      <c r="B94" s="2" t="s">
        <v>121</v>
      </c>
      <c r="C94" s="2" t="s">
        <v>1</v>
      </c>
      <c r="D94" s="2" t="s">
        <v>537</v>
      </c>
      <c r="E94" s="2" t="s">
        <v>538</v>
      </c>
      <c r="F94" s="2" t="s">
        <v>538</v>
      </c>
      <c r="G94" s="15" t="str">
        <f>VLOOKUP(F94,'[1]202501入账'!$A:$G,5,0)</f>
        <v>KA销售中心</v>
      </c>
      <c r="H94" s="15" t="str">
        <f>VLOOKUP(F94,'[1]202501入账'!$A:$G,6,0)</f>
        <v>渠道合作组-华南区</v>
      </c>
      <c r="I94" s="6">
        <v>45670.7708333333</v>
      </c>
      <c r="J94" s="6">
        <v>45675.6041666667</v>
      </c>
      <c r="K94" s="2" t="s">
        <v>101</v>
      </c>
      <c r="L94" s="6" t="s">
        <v>1</v>
      </c>
      <c r="M94" s="2" t="s">
        <v>1</v>
      </c>
      <c r="N94" s="2" t="s">
        <v>176</v>
      </c>
      <c r="O94" s="16" t="s">
        <v>375</v>
      </c>
      <c r="P94" s="2" t="s">
        <v>104</v>
      </c>
      <c r="Q94" s="5">
        <v>1590</v>
      </c>
      <c r="R94" s="5">
        <v>50</v>
      </c>
      <c r="S94" s="5">
        <v>20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30</v>
      </c>
      <c r="AD94" s="5">
        <v>0</v>
      </c>
      <c r="AE94" s="5">
        <v>0</v>
      </c>
      <c r="AF94" s="5">
        <v>1690</v>
      </c>
      <c r="AG94" s="2" t="s">
        <v>1</v>
      </c>
      <c r="AH94" s="2" t="s">
        <v>559</v>
      </c>
      <c r="AI94" s="2" t="s">
        <v>1</v>
      </c>
      <c r="AJ94" s="2" t="s">
        <v>560</v>
      </c>
      <c r="AK94" s="2" t="s">
        <v>1</v>
      </c>
      <c r="AL94" s="2" t="s">
        <v>1</v>
      </c>
    </row>
    <row r="95" ht="17.5" customHeight="1" spans="1:38">
      <c r="A95" s="2" t="s">
        <v>561</v>
      </c>
      <c r="B95" s="2" t="s">
        <v>112</v>
      </c>
      <c r="C95" s="2" t="s">
        <v>379</v>
      </c>
      <c r="D95" s="2" t="s">
        <v>549</v>
      </c>
      <c r="E95" s="2" t="s">
        <v>550</v>
      </c>
      <c r="F95" s="2" t="s">
        <v>550</v>
      </c>
      <c r="G95" s="15" t="str">
        <f>VLOOKUP(F95,'[1]202501入账'!$A:$G,5,0)</f>
        <v>KA销售中心</v>
      </c>
      <c r="H95" s="15" t="str">
        <f>VLOOKUP(F95,'[1]202501入账'!$A:$G,6,0)</f>
        <v>渠道合作组-华南区</v>
      </c>
      <c r="I95" s="6">
        <v>45670.7944444444</v>
      </c>
      <c r="J95" s="6">
        <v>45675.6041666667</v>
      </c>
      <c r="K95" s="2" t="s">
        <v>101</v>
      </c>
      <c r="L95" s="6" t="s">
        <v>1</v>
      </c>
      <c r="M95" s="2" t="s">
        <v>1</v>
      </c>
      <c r="N95" s="2" t="s">
        <v>176</v>
      </c>
      <c r="O95" s="16" t="s">
        <v>375</v>
      </c>
      <c r="P95" s="2" t="s">
        <v>104</v>
      </c>
      <c r="Q95" s="5">
        <v>1500</v>
      </c>
      <c r="R95" s="5">
        <v>50</v>
      </c>
      <c r="S95" s="5">
        <v>20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3</v>
      </c>
      <c r="AC95" s="5">
        <v>30</v>
      </c>
      <c r="AD95" s="5">
        <v>0</v>
      </c>
      <c r="AE95" s="5">
        <v>0</v>
      </c>
      <c r="AF95" s="5">
        <v>1603</v>
      </c>
      <c r="AG95" s="2" t="s">
        <v>1</v>
      </c>
      <c r="AH95" s="2" t="s">
        <v>562</v>
      </c>
      <c r="AI95" s="2" t="s">
        <v>1</v>
      </c>
      <c r="AJ95" s="2" t="s">
        <v>563</v>
      </c>
      <c r="AK95" s="2" t="s">
        <v>1</v>
      </c>
      <c r="AL95" s="2" t="s">
        <v>1</v>
      </c>
    </row>
    <row r="96" ht="17.5" customHeight="1" spans="1:38">
      <c r="A96" s="2" t="s">
        <v>564</v>
      </c>
      <c r="B96" s="2" t="s">
        <v>112</v>
      </c>
      <c r="C96" s="2" t="s">
        <v>379</v>
      </c>
      <c r="D96" s="2" t="s">
        <v>243</v>
      </c>
      <c r="E96" s="2" t="s">
        <v>244</v>
      </c>
      <c r="F96" s="2" t="s">
        <v>244</v>
      </c>
      <c r="G96" s="15" t="str">
        <f>VLOOKUP(F96,'[1]202501入账'!$A:$G,5,0)</f>
        <v>KA销售中心</v>
      </c>
      <c r="H96" s="15" t="str">
        <f>VLOOKUP(F96,'[1]202501入账'!$A:$G,6,0)</f>
        <v>渠道合作组-西南区</v>
      </c>
      <c r="I96" s="6">
        <v>45670.8131944444</v>
      </c>
      <c r="J96" s="6">
        <v>45673.8020833333</v>
      </c>
      <c r="K96" s="2" t="s">
        <v>101</v>
      </c>
      <c r="L96" s="6" t="s">
        <v>1</v>
      </c>
      <c r="M96" s="2" t="s">
        <v>1</v>
      </c>
      <c r="N96" s="2" t="s">
        <v>116</v>
      </c>
      <c r="O96" s="16" t="s">
        <v>273</v>
      </c>
      <c r="P96" s="2" t="s">
        <v>104</v>
      </c>
      <c r="Q96" s="5">
        <v>1930</v>
      </c>
      <c r="R96" s="5">
        <v>50</v>
      </c>
      <c r="S96" s="5">
        <v>20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3</v>
      </c>
      <c r="AC96" s="5">
        <v>30</v>
      </c>
      <c r="AD96" s="5">
        <v>0</v>
      </c>
      <c r="AE96" s="5">
        <v>0</v>
      </c>
      <c r="AF96" s="5">
        <v>2033</v>
      </c>
      <c r="AG96" s="2" t="s">
        <v>1</v>
      </c>
      <c r="AH96" s="2" t="s">
        <v>565</v>
      </c>
      <c r="AI96" s="2" t="s">
        <v>1</v>
      </c>
      <c r="AJ96" s="2" t="s">
        <v>566</v>
      </c>
      <c r="AK96" s="2" t="s">
        <v>1</v>
      </c>
      <c r="AL96" s="2" t="s">
        <v>1</v>
      </c>
    </row>
    <row r="97" ht="17.5" customHeight="1" spans="1:38">
      <c r="A97" s="2" t="s">
        <v>567</v>
      </c>
      <c r="B97" s="2" t="s">
        <v>121</v>
      </c>
      <c r="C97" s="2" t="s">
        <v>1</v>
      </c>
      <c r="D97" s="2" t="s">
        <v>568</v>
      </c>
      <c r="E97" s="2" t="s">
        <v>569</v>
      </c>
      <c r="F97" s="2" t="s">
        <v>569</v>
      </c>
      <c r="G97" s="15" t="str">
        <f>VLOOKUP(F97,'[1]202501入账'!$A:$G,5,0)</f>
        <v>运营支持中心</v>
      </c>
      <c r="H97" s="15" t="str">
        <f>VLOOKUP(F97,'[1]202501入账'!$A:$G,6,0)</f>
        <v>新零售服务二组</v>
      </c>
      <c r="I97" s="6">
        <v>45670.875</v>
      </c>
      <c r="J97" s="6">
        <v>45671.6631944444</v>
      </c>
      <c r="K97" s="2" t="s">
        <v>101</v>
      </c>
      <c r="L97" s="6" t="s">
        <v>1</v>
      </c>
      <c r="M97" s="2" t="s">
        <v>1</v>
      </c>
      <c r="N97" s="2" t="s">
        <v>570</v>
      </c>
      <c r="O97" s="16" t="s">
        <v>571</v>
      </c>
      <c r="P97" s="2" t="s">
        <v>104</v>
      </c>
      <c r="Q97" s="5">
        <v>980</v>
      </c>
      <c r="R97" s="5">
        <v>50</v>
      </c>
      <c r="S97" s="5">
        <v>20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30</v>
      </c>
      <c r="AD97" s="5">
        <v>0</v>
      </c>
      <c r="AE97" s="5">
        <v>0</v>
      </c>
      <c r="AF97" s="5">
        <v>1080</v>
      </c>
      <c r="AG97" s="2" t="s">
        <v>1</v>
      </c>
      <c r="AH97" s="2" t="s">
        <v>572</v>
      </c>
      <c r="AI97" s="2" t="s">
        <v>1</v>
      </c>
      <c r="AJ97" s="2" t="s">
        <v>573</v>
      </c>
      <c r="AK97" s="2" t="s">
        <v>1</v>
      </c>
      <c r="AL97" s="2" t="s">
        <v>1</v>
      </c>
    </row>
    <row r="98" ht="17.5" customHeight="1" spans="1:38">
      <c r="A98" s="2" t="s">
        <v>574</v>
      </c>
      <c r="B98" s="2" t="s">
        <v>112</v>
      </c>
      <c r="C98" s="2" t="s">
        <v>158</v>
      </c>
      <c r="D98" s="2" t="s">
        <v>575</v>
      </c>
      <c r="E98" s="2" t="s">
        <v>576</v>
      </c>
      <c r="F98" s="2" t="s">
        <v>576</v>
      </c>
      <c r="G98" s="15" t="str">
        <f>VLOOKUP(F98,'[1]202501入账'!$A:$G,5,0)</f>
        <v>KA销售中心</v>
      </c>
      <c r="H98" s="15" t="str">
        <f>VLOOKUP(F98,'[1]202501入账'!$A:$G,6,0)</f>
        <v>渠道合作组-西南区</v>
      </c>
      <c r="I98" s="6">
        <v>45670.9256944444</v>
      </c>
      <c r="J98" s="6">
        <v>45671.6458333333</v>
      </c>
      <c r="K98" s="2" t="s">
        <v>101</v>
      </c>
      <c r="L98" s="6" t="s">
        <v>1</v>
      </c>
      <c r="M98" s="2" t="s">
        <v>1</v>
      </c>
      <c r="N98" s="2" t="s">
        <v>246</v>
      </c>
      <c r="O98" s="16" t="s">
        <v>577</v>
      </c>
      <c r="P98" s="2" t="s">
        <v>104</v>
      </c>
      <c r="Q98" s="5">
        <v>1270</v>
      </c>
      <c r="R98" s="5">
        <v>50</v>
      </c>
      <c r="S98" s="5">
        <v>20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3</v>
      </c>
      <c r="AC98" s="5">
        <v>30</v>
      </c>
      <c r="AD98" s="5">
        <v>0</v>
      </c>
      <c r="AE98" s="5">
        <v>0</v>
      </c>
      <c r="AF98" s="5">
        <v>1373</v>
      </c>
      <c r="AG98" s="2" t="s">
        <v>1</v>
      </c>
      <c r="AH98" s="2" t="s">
        <v>578</v>
      </c>
      <c r="AI98" s="2" t="s">
        <v>1</v>
      </c>
      <c r="AJ98" s="2" t="s">
        <v>579</v>
      </c>
      <c r="AK98" s="2" t="s">
        <v>1</v>
      </c>
      <c r="AL98" s="2" t="s">
        <v>1</v>
      </c>
    </row>
    <row r="99" ht="17.5" customHeight="1" spans="1:38">
      <c r="A99" s="2" t="s">
        <v>580</v>
      </c>
      <c r="B99" s="2" t="s">
        <v>112</v>
      </c>
      <c r="C99" s="2" t="s">
        <v>379</v>
      </c>
      <c r="D99" s="2" t="s">
        <v>531</v>
      </c>
      <c r="E99" s="2" t="s">
        <v>532</v>
      </c>
      <c r="F99" s="2" t="s">
        <v>532</v>
      </c>
      <c r="G99" s="15" t="str">
        <f>VLOOKUP(F99,'[1]202501入账'!$A:$G,5,0)</f>
        <v>KA销售中心</v>
      </c>
      <c r="H99" s="15" t="str">
        <f>VLOOKUP(F99,'[1]202501入账'!$A:$G,6,0)</f>
        <v>渠道合作组-华南区</v>
      </c>
      <c r="I99" s="6">
        <v>45671.4493055556</v>
      </c>
      <c r="J99" s="6">
        <v>45675.6041666667</v>
      </c>
      <c r="K99" s="2" t="s">
        <v>101</v>
      </c>
      <c r="L99" s="6" t="s">
        <v>1</v>
      </c>
      <c r="M99" s="2" t="s">
        <v>1</v>
      </c>
      <c r="N99" s="2" t="s">
        <v>176</v>
      </c>
      <c r="O99" s="16" t="s">
        <v>375</v>
      </c>
      <c r="P99" s="2" t="s">
        <v>104</v>
      </c>
      <c r="Q99" s="5">
        <v>1500</v>
      </c>
      <c r="R99" s="5">
        <v>50</v>
      </c>
      <c r="S99" s="5">
        <v>20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3</v>
      </c>
      <c r="AC99" s="5">
        <v>30</v>
      </c>
      <c r="AD99" s="5">
        <v>0</v>
      </c>
      <c r="AE99" s="5">
        <v>0</v>
      </c>
      <c r="AF99" s="5">
        <v>1603</v>
      </c>
      <c r="AG99" s="2" t="s">
        <v>1</v>
      </c>
      <c r="AH99" s="2" t="s">
        <v>581</v>
      </c>
      <c r="AI99" s="2" t="s">
        <v>1</v>
      </c>
      <c r="AJ99" s="2" t="s">
        <v>582</v>
      </c>
      <c r="AK99" s="2" t="s">
        <v>1</v>
      </c>
      <c r="AL99" s="2" t="s">
        <v>1</v>
      </c>
    </row>
    <row r="100" ht="17.5" customHeight="1" spans="1:38">
      <c r="A100" s="2" t="s">
        <v>583</v>
      </c>
      <c r="B100" s="2" t="s">
        <v>112</v>
      </c>
      <c r="C100" s="2" t="s">
        <v>379</v>
      </c>
      <c r="D100" s="2" t="s">
        <v>512</v>
      </c>
      <c r="E100" s="2" t="s">
        <v>513</v>
      </c>
      <c r="F100" s="2" t="s">
        <v>513</v>
      </c>
      <c r="G100" s="15" t="str">
        <f>VLOOKUP(F100,'[1]202501入账'!$A:$G,5,0)</f>
        <v>生态运营中心</v>
      </c>
      <c r="H100" s="15" t="str">
        <f>VLOOKUP(F100,'[1]202501入账'!$A:$G,6,0)</f>
        <v/>
      </c>
      <c r="I100" s="6">
        <v>45671.4534722222</v>
      </c>
      <c r="J100" s="6">
        <v>45674.6319444444</v>
      </c>
      <c r="K100" s="2" t="s">
        <v>101</v>
      </c>
      <c r="L100" s="6" t="s">
        <v>1</v>
      </c>
      <c r="M100" s="2" t="s">
        <v>1</v>
      </c>
      <c r="N100" s="2" t="s">
        <v>116</v>
      </c>
      <c r="O100" s="16" t="s">
        <v>584</v>
      </c>
      <c r="P100" s="2" t="s">
        <v>104</v>
      </c>
      <c r="Q100" s="5">
        <v>1900</v>
      </c>
      <c r="R100" s="5">
        <v>50</v>
      </c>
      <c r="S100" s="5">
        <v>20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3</v>
      </c>
      <c r="AC100" s="5">
        <v>0</v>
      </c>
      <c r="AD100" s="5">
        <v>0</v>
      </c>
      <c r="AE100" s="5">
        <v>0</v>
      </c>
      <c r="AF100" s="5">
        <v>1973</v>
      </c>
      <c r="AG100" s="2" t="s">
        <v>1</v>
      </c>
      <c r="AH100" s="2" t="s">
        <v>585</v>
      </c>
      <c r="AI100" s="2" t="s">
        <v>1</v>
      </c>
      <c r="AJ100" s="2" t="s">
        <v>586</v>
      </c>
      <c r="AK100" s="2" t="s">
        <v>1</v>
      </c>
      <c r="AL100" s="2" t="s">
        <v>1</v>
      </c>
    </row>
    <row r="101" ht="17.5" customHeight="1" spans="1:38">
      <c r="A101" s="2" t="s">
        <v>587</v>
      </c>
      <c r="B101" s="2" t="s">
        <v>121</v>
      </c>
      <c r="C101" s="2" t="s">
        <v>1</v>
      </c>
      <c r="D101" s="2" t="s">
        <v>588</v>
      </c>
      <c r="E101" s="2" t="s">
        <v>589</v>
      </c>
      <c r="F101" s="2" t="s">
        <v>589</v>
      </c>
      <c r="G101" s="15" t="str">
        <f>VLOOKUP(F101,'[1]202501入账'!$A:$G,5,0)</f>
        <v>综合职能中心</v>
      </c>
      <c r="H101" s="15" t="str">
        <f>VLOOKUP(F101,'[1]202501入账'!$A:$G,6,0)</f>
        <v>人力组</v>
      </c>
      <c r="I101" s="6">
        <v>45671.4930555556</v>
      </c>
      <c r="J101" s="6">
        <v>45671.75</v>
      </c>
      <c r="K101" s="2" t="s">
        <v>101</v>
      </c>
      <c r="L101" s="6" t="s">
        <v>1</v>
      </c>
      <c r="M101" s="2" t="s">
        <v>1</v>
      </c>
      <c r="N101" s="2" t="s">
        <v>176</v>
      </c>
      <c r="O101" s="16" t="s">
        <v>590</v>
      </c>
      <c r="P101" s="2" t="s">
        <v>104</v>
      </c>
      <c r="Q101" s="5">
        <v>1980</v>
      </c>
      <c r="R101" s="5">
        <v>50</v>
      </c>
      <c r="S101" s="5">
        <v>20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30</v>
      </c>
      <c r="AD101" s="5">
        <v>0</v>
      </c>
      <c r="AE101" s="5">
        <v>0</v>
      </c>
      <c r="AF101" s="5">
        <v>2080</v>
      </c>
      <c r="AG101" s="2" t="s">
        <v>1</v>
      </c>
      <c r="AH101" s="2" t="s">
        <v>591</v>
      </c>
      <c r="AI101" s="2" t="s">
        <v>1</v>
      </c>
      <c r="AJ101" s="2" t="s">
        <v>592</v>
      </c>
      <c r="AK101" s="2" t="s">
        <v>1</v>
      </c>
      <c r="AL101" s="2" t="s">
        <v>1</v>
      </c>
    </row>
    <row r="102" ht="17.5" customHeight="1" spans="1:38">
      <c r="A102" s="2" t="s">
        <v>593</v>
      </c>
      <c r="B102" s="2" t="s">
        <v>121</v>
      </c>
      <c r="C102" s="2" t="s">
        <v>1</v>
      </c>
      <c r="D102" s="2" t="s">
        <v>588</v>
      </c>
      <c r="E102" s="2" t="s">
        <v>589</v>
      </c>
      <c r="F102" s="2" t="s">
        <v>589</v>
      </c>
      <c r="G102" s="15" t="str">
        <f>VLOOKUP(F102,'[1]202501入账'!$A:$G,5,0)</f>
        <v>综合职能中心</v>
      </c>
      <c r="H102" s="15" t="str">
        <f>VLOOKUP(F102,'[1]202501入账'!$A:$G,6,0)</f>
        <v>人力组</v>
      </c>
      <c r="I102" s="6">
        <v>45671.4972222222</v>
      </c>
      <c r="J102" s="6">
        <v>45675.3888888889</v>
      </c>
      <c r="K102" s="2" t="s">
        <v>101</v>
      </c>
      <c r="L102" s="6" t="s">
        <v>1</v>
      </c>
      <c r="M102" s="2" t="s">
        <v>1</v>
      </c>
      <c r="N102" s="2" t="s">
        <v>116</v>
      </c>
      <c r="O102" s="16" t="s">
        <v>345</v>
      </c>
      <c r="P102" s="2" t="s">
        <v>104</v>
      </c>
      <c r="Q102" s="5">
        <v>1990</v>
      </c>
      <c r="R102" s="5">
        <v>50</v>
      </c>
      <c r="S102" s="5">
        <v>20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2060</v>
      </c>
      <c r="AG102" s="2" t="s">
        <v>1</v>
      </c>
      <c r="AH102" s="2" t="s">
        <v>594</v>
      </c>
      <c r="AI102" s="2" t="s">
        <v>1</v>
      </c>
      <c r="AJ102" s="2" t="s">
        <v>595</v>
      </c>
      <c r="AK102" s="2" t="s">
        <v>1</v>
      </c>
      <c r="AL102" s="2" t="s">
        <v>1</v>
      </c>
    </row>
    <row r="103" ht="17.5" customHeight="1" spans="1:38">
      <c r="A103" s="2" t="s">
        <v>596</v>
      </c>
      <c r="B103" s="2" t="s">
        <v>112</v>
      </c>
      <c r="C103" s="2" t="s">
        <v>379</v>
      </c>
      <c r="D103" s="2" t="s">
        <v>506</v>
      </c>
      <c r="E103" s="2" t="s">
        <v>507</v>
      </c>
      <c r="F103" s="2" t="s">
        <v>507</v>
      </c>
      <c r="G103" s="15" t="str">
        <f>VLOOKUP(F103,'[1]202501入账'!$A:$G,5,0)</f>
        <v>生态运营中心</v>
      </c>
      <c r="H103" s="15" t="str">
        <f>VLOOKUP(F103,'[1]202501入账'!$A:$G,6,0)</f>
        <v>KA运营组</v>
      </c>
      <c r="I103" s="6">
        <v>45671.5548611111</v>
      </c>
      <c r="J103" s="6">
        <v>45674.6319444444</v>
      </c>
      <c r="K103" s="2" t="s">
        <v>101</v>
      </c>
      <c r="L103" s="6" t="s">
        <v>1</v>
      </c>
      <c r="M103" s="2" t="s">
        <v>1</v>
      </c>
      <c r="N103" s="2" t="s">
        <v>116</v>
      </c>
      <c r="O103" s="16" t="s">
        <v>584</v>
      </c>
      <c r="P103" s="2" t="s">
        <v>104</v>
      </c>
      <c r="Q103" s="5">
        <v>2250</v>
      </c>
      <c r="R103" s="5">
        <v>50</v>
      </c>
      <c r="S103" s="5">
        <v>20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3</v>
      </c>
      <c r="AC103" s="5">
        <v>30</v>
      </c>
      <c r="AD103" s="5">
        <v>0</v>
      </c>
      <c r="AE103" s="5">
        <v>0</v>
      </c>
      <c r="AF103" s="5">
        <v>2353</v>
      </c>
      <c r="AG103" s="2" t="s">
        <v>1</v>
      </c>
      <c r="AH103" s="2" t="s">
        <v>597</v>
      </c>
      <c r="AI103" s="2" t="s">
        <v>1</v>
      </c>
      <c r="AJ103" s="2" t="s">
        <v>598</v>
      </c>
      <c r="AK103" s="2" t="s">
        <v>1</v>
      </c>
      <c r="AL103" s="2" t="s">
        <v>1</v>
      </c>
    </row>
    <row r="104" ht="17.5" customHeight="1" spans="1:38">
      <c r="A104" s="2" t="s">
        <v>599</v>
      </c>
      <c r="B104" s="2" t="s">
        <v>121</v>
      </c>
      <c r="C104" s="2" t="s">
        <v>1</v>
      </c>
      <c r="D104" s="2" t="s">
        <v>497</v>
      </c>
      <c r="E104" s="2" t="s">
        <v>498</v>
      </c>
      <c r="F104" s="2" t="s">
        <v>498</v>
      </c>
      <c r="G104" s="15" t="str">
        <f>VLOOKUP(F104,'[1]202501入账'!$A:$G,5,0)</f>
        <v>自营销售中心</v>
      </c>
      <c r="H104" s="15" t="str">
        <f>VLOOKUP(F104,'[1]202501入账'!$A:$G,6,0)</f>
        <v>业务经理组</v>
      </c>
      <c r="I104" s="6">
        <v>45671.6423611111</v>
      </c>
      <c r="J104" s="6">
        <v>45675.8958333333</v>
      </c>
      <c r="K104" s="2" t="s">
        <v>101</v>
      </c>
      <c r="L104" s="6" t="s">
        <v>1</v>
      </c>
      <c r="M104" s="2" t="s">
        <v>1</v>
      </c>
      <c r="N104" s="2" t="s">
        <v>164</v>
      </c>
      <c r="O104" s="16" t="s">
        <v>600</v>
      </c>
      <c r="P104" s="2" t="s">
        <v>104</v>
      </c>
      <c r="Q104" s="5">
        <v>870</v>
      </c>
      <c r="R104" s="5">
        <v>50</v>
      </c>
      <c r="S104" s="5">
        <v>20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940</v>
      </c>
      <c r="AG104" s="2" t="s">
        <v>1</v>
      </c>
      <c r="AH104" s="2" t="s">
        <v>601</v>
      </c>
      <c r="AI104" s="2" t="s">
        <v>1</v>
      </c>
      <c r="AJ104" s="2" t="s">
        <v>602</v>
      </c>
      <c r="AK104" s="2" t="s">
        <v>1</v>
      </c>
      <c r="AL104" s="2" t="s">
        <v>1</v>
      </c>
    </row>
    <row r="105" ht="17.5" customHeight="1" spans="1:38">
      <c r="A105" s="2" t="s">
        <v>603</v>
      </c>
      <c r="B105" s="2" t="s">
        <v>121</v>
      </c>
      <c r="C105" s="2" t="s">
        <v>379</v>
      </c>
      <c r="D105" s="2" t="s">
        <v>181</v>
      </c>
      <c r="E105" s="2" t="s">
        <v>182</v>
      </c>
      <c r="F105" s="2" t="s">
        <v>182</v>
      </c>
      <c r="G105" s="15" t="str">
        <f>VLOOKUP(F105,'[1]202501入账'!$A:$G,5,0)</f>
        <v>中心负责人</v>
      </c>
      <c r="H105" s="15" t="str">
        <f>VLOOKUP(F105,'[1]202501入账'!$A:$G,6,0)</f>
        <v/>
      </c>
      <c r="I105" s="6">
        <v>45671.6694444444</v>
      </c>
      <c r="J105" s="6">
        <v>45675.4027777778</v>
      </c>
      <c r="K105" s="2" t="s">
        <v>101</v>
      </c>
      <c r="L105" s="6" t="s">
        <v>1</v>
      </c>
      <c r="M105" s="2" t="s">
        <v>1</v>
      </c>
      <c r="N105" s="2" t="s">
        <v>570</v>
      </c>
      <c r="O105" s="16" t="s">
        <v>604</v>
      </c>
      <c r="P105" s="2" t="s">
        <v>104</v>
      </c>
      <c r="Q105" s="5">
        <v>910</v>
      </c>
      <c r="R105" s="5">
        <v>50</v>
      </c>
      <c r="S105" s="5">
        <v>20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3</v>
      </c>
      <c r="AC105" s="5">
        <v>30</v>
      </c>
      <c r="AD105" s="5">
        <v>0</v>
      </c>
      <c r="AE105" s="5">
        <v>0</v>
      </c>
      <c r="AF105" s="5">
        <v>1013</v>
      </c>
      <c r="AG105" s="2" t="s">
        <v>1</v>
      </c>
      <c r="AH105" s="2" t="s">
        <v>605</v>
      </c>
      <c r="AI105" s="2" t="s">
        <v>1</v>
      </c>
      <c r="AJ105" s="2" t="s">
        <v>606</v>
      </c>
      <c r="AK105" s="2" t="s">
        <v>1</v>
      </c>
      <c r="AL105" s="2" t="s">
        <v>1</v>
      </c>
    </row>
    <row r="106" ht="17.5" customHeight="1" spans="1:38">
      <c r="A106" s="2" t="s">
        <v>607</v>
      </c>
      <c r="B106" s="2" t="s">
        <v>112</v>
      </c>
      <c r="C106" s="2" t="s">
        <v>379</v>
      </c>
      <c r="D106" s="2" t="s">
        <v>608</v>
      </c>
      <c r="E106" s="2" t="s">
        <v>609</v>
      </c>
      <c r="F106" s="2" t="s">
        <v>609</v>
      </c>
      <c r="G106" s="15" t="str">
        <f>VLOOKUP(F106,'[1]202501入账'!$A:$G,5,0)</f>
        <v>KA销售中心</v>
      </c>
      <c r="H106" s="15" t="str">
        <f>VLOOKUP(F106,'[1]202501入账'!$A:$G,6,0)</f>
        <v>渠道合作组-西南区</v>
      </c>
      <c r="I106" s="6">
        <v>45671.9215277778</v>
      </c>
      <c r="J106" s="6">
        <v>45673.6875</v>
      </c>
      <c r="K106" s="2" t="s">
        <v>101</v>
      </c>
      <c r="L106" s="6" t="s">
        <v>1</v>
      </c>
      <c r="M106" s="2" t="s">
        <v>1</v>
      </c>
      <c r="N106" s="2" t="s">
        <v>246</v>
      </c>
      <c r="O106" s="16" t="s">
        <v>245</v>
      </c>
      <c r="P106" s="2" t="s">
        <v>104</v>
      </c>
      <c r="Q106" s="5">
        <v>665</v>
      </c>
      <c r="R106" s="5">
        <v>50</v>
      </c>
      <c r="S106" s="5">
        <v>20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3</v>
      </c>
      <c r="AC106" s="5">
        <v>0</v>
      </c>
      <c r="AD106" s="5">
        <v>0</v>
      </c>
      <c r="AE106" s="5">
        <v>0</v>
      </c>
      <c r="AF106" s="5">
        <v>738</v>
      </c>
      <c r="AG106" s="2" t="s">
        <v>1</v>
      </c>
      <c r="AH106" s="2" t="s">
        <v>610</v>
      </c>
      <c r="AI106" s="2" t="s">
        <v>1</v>
      </c>
      <c r="AJ106" s="2" t="s">
        <v>611</v>
      </c>
      <c r="AK106" s="2" t="s">
        <v>1</v>
      </c>
      <c r="AL106" s="2" t="s">
        <v>1</v>
      </c>
    </row>
    <row r="107" ht="17.5" customHeight="1" spans="1:38">
      <c r="A107" s="2" t="s">
        <v>612</v>
      </c>
      <c r="B107" s="2" t="s">
        <v>121</v>
      </c>
      <c r="C107" s="2" t="s">
        <v>379</v>
      </c>
      <c r="D107" s="2" t="s">
        <v>181</v>
      </c>
      <c r="E107" s="2" t="s">
        <v>182</v>
      </c>
      <c r="F107" s="2" t="s">
        <v>182</v>
      </c>
      <c r="G107" s="15" t="str">
        <f>VLOOKUP(F107,'[1]202501入账'!$A:$G,5,0)</f>
        <v>中心负责人</v>
      </c>
      <c r="H107" s="15" t="str">
        <f>VLOOKUP(F107,'[1]202501入账'!$A:$G,6,0)</f>
        <v/>
      </c>
      <c r="I107" s="6">
        <v>45671.9243055556</v>
      </c>
      <c r="J107" s="6">
        <v>45677.8784722222</v>
      </c>
      <c r="K107" s="2" t="s">
        <v>101</v>
      </c>
      <c r="L107" s="6">
        <v>45677.7708333333</v>
      </c>
      <c r="M107" s="2" t="s">
        <v>613</v>
      </c>
      <c r="N107" s="2" t="s">
        <v>136</v>
      </c>
      <c r="O107" s="16" t="s">
        <v>614</v>
      </c>
      <c r="P107" s="2" t="s">
        <v>104</v>
      </c>
      <c r="Q107" s="5">
        <v>350</v>
      </c>
      <c r="R107" s="5">
        <v>50</v>
      </c>
      <c r="S107" s="5">
        <v>20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3</v>
      </c>
      <c r="AC107" s="5">
        <v>30</v>
      </c>
      <c r="AD107" s="5">
        <v>0</v>
      </c>
      <c r="AE107" s="5">
        <v>0</v>
      </c>
      <c r="AF107" s="5">
        <v>453</v>
      </c>
      <c r="AG107" s="2" t="s">
        <v>1</v>
      </c>
      <c r="AH107" s="2" t="s">
        <v>615</v>
      </c>
      <c r="AI107" s="2" t="s">
        <v>615</v>
      </c>
      <c r="AJ107" s="2" t="s">
        <v>616</v>
      </c>
      <c r="AK107" s="2" t="s">
        <v>616</v>
      </c>
      <c r="AL107" s="2" t="s">
        <v>379</v>
      </c>
    </row>
    <row r="108" ht="17.5" customHeight="1" spans="1:38">
      <c r="A108" s="2" t="s">
        <v>617</v>
      </c>
      <c r="B108" s="2" t="s">
        <v>112</v>
      </c>
      <c r="C108" s="2" t="s">
        <v>379</v>
      </c>
      <c r="D108" s="2" t="s">
        <v>464</v>
      </c>
      <c r="E108" s="2" t="s">
        <v>465</v>
      </c>
      <c r="F108" s="2" t="s">
        <v>465</v>
      </c>
      <c r="G108" s="15" t="str">
        <f>VLOOKUP(F108,'[1]202501入账'!$A:$G,5,0)</f>
        <v>KA销售中心</v>
      </c>
      <c r="H108" s="15" t="str">
        <f>VLOOKUP(F108,'[1]202501入账'!$A:$G,6,0)</f>
        <v>渠道合作组-西南区</v>
      </c>
      <c r="I108" s="6">
        <v>45672.4138888889</v>
      </c>
      <c r="J108" s="6">
        <v>45673.5625</v>
      </c>
      <c r="K108" s="2" t="s">
        <v>101</v>
      </c>
      <c r="L108" s="6" t="s">
        <v>1</v>
      </c>
      <c r="M108" s="2" t="s">
        <v>1</v>
      </c>
      <c r="N108" s="2" t="s">
        <v>246</v>
      </c>
      <c r="O108" s="16" t="s">
        <v>618</v>
      </c>
      <c r="P108" s="2" t="s">
        <v>104</v>
      </c>
      <c r="Q108" s="5">
        <v>1270</v>
      </c>
      <c r="R108" s="5">
        <v>50</v>
      </c>
      <c r="S108" s="5">
        <v>20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3</v>
      </c>
      <c r="AC108" s="5">
        <v>30</v>
      </c>
      <c r="AD108" s="5">
        <v>0</v>
      </c>
      <c r="AE108" s="5">
        <v>0</v>
      </c>
      <c r="AF108" s="5">
        <v>1373</v>
      </c>
      <c r="AG108" s="2" t="s">
        <v>1</v>
      </c>
      <c r="AH108" s="2" t="s">
        <v>619</v>
      </c>
      <c r="AI108" s="2" t="s">
        <v>1</v>
      </c>
      <c r="AJ108" s="2" t="s">
        <v>620</v>
      </c>
      <c r="AK108" s="2" t="s">
        <v>1</v>
      </c>
      <c r="AL108" s="2" t="s">
        <v>1</v>
      </c>
    </row>
    <row r="109" ht="17.5" customHeight="1" spans="1:38">
      <c r="A109" s="2" t="s">
        <v>621</v>
      </c>
      <c r="B109" s="2" t="s">
        <v>112</v>
      </c>
      <c r="C109" s="2" t="s">
        <v>379</v>
      </c>
      <c r="D109" s="2" t="s">
        <v>568</v>
      </c>
      <c r="E109" s="2" t="s">
        <v>569</v>
      </c>
      <c r="F109" s="2" t="s">
        <v>569</v>
      </c>
      <c r="G109" s="15" t="str">
        <f>VLOOKUP(F109,'[1]202501入账'!$A:$G,5,0)</f>
        <v>运营支持中心</v>
      </c>
      <c r="H109" s="15" t="str">
        <f>VLOOKUP(F109,'[1]202501入账'!$A:$G,6,0)</f>
        <v>新零售服务二组</v>
      </c>
      <c r="I109" s="6">
        <v>45672.6506944444</v>
      </c>
      <c r="J109" s="6">
        <v>45672.8576388889</v>
      </c>
      <c r="K109" s="2" t="s">
        <v>101</v>
      </c>
      <c r="L109" s="6" t="s">
        <v>1</v>
      </c>
      <c r="M109" s="2" t="s">
        <v>1</v>
      </c>
      <c r="N109" s="2" t="s">
        <v>622</v>
      </c>
      <c r="O109" s="16" t="s">
        <v>623</v>
      </c>
      <c r="P109" s="2" t="s">
        <v>104</v>
      </c>
      <c r="Q109" s="5">
        <v>1995</v>
      </c>
      <c r="R109" s="5">
        <v>50</v>
      </c>
      <c r="S109" s="5">
        <v>20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3</v>
      </c>
      <c r="AC109" s="5">
        <v>30</v>
      </c>
      <c r="AD109" s="5">
        <v>0</v>
      </c>
      <c r="AE109" s="5">
        <v>0</v>
      </c>
      <c r="AF109" s="5">
        <v>2098</v>
      </c>
      <c r="AG109" s="2" t="s">
        <v>1</v>
      </c>
      <c r="AH109" s="2" t="s">
        <v>624</v>
      </c>
      <c r="AI109" s="2" t="s">
        <v>1</v>
      </c>
      <c r="AJ109" s="2" t="s">
        <v>625</v>
      </c>
      <c r="AK109" s="2" t="s">
        <v>1</v>
      </c>
      <c r="AL109" s="2" t="s">
        <v>1</v>
      </c>
    </row>
    <row r="110" ht="17.5" customHeight="1" spans="1:38">
      <c r="A110" s="2" t="s">
        <v>626</v>
      </c>
      <c r="B110" s="2" t="s">
        <v>121</v>
      </c>
      <c r="C110" s="2" t="s">
        <v>1</v>
      </c>
      <c r="D110" s="2" t="s">
        <v>492</v>
      </c>
      <c r="E110" s="2" t="s">
        <v>493</v>
      </c>
      <c r="F110" s="2" t="s">
        <v>493</v>
      </c>
      <c r="G110" s="15" t="str">
        <f>VLOOKUP(F110,'[1]202501入账'!$A:$G,5,0)</f>
        <v>自营销售中心</v>
      </c>
      <c r="H110" s="15" t="str">
        <f>VLOOKUP(F110,'[1]202501入账'!$A:$G,6,0)</f>
        <v>LA销售组</v>
      </c>
      <c r="I110" s="6">
        <v>45673.4395833333</v>
      </c>
      <c r="J110" s="6">
        <v>45675.3159722222</v>
      </c>
      <c r="K110" s="2" t="s">
        <v>101</v>
      </c>
      <c r="L110" s="6" t="s">
        <v>1</v>
      </c>
      <c r="M110" s="2" t="s">
        <v>1</v>
      </c>
      <c r="N110" s="2" t="s">
        <v>164</v>
      </c>
      <c r="O110" s="16" t="s">
        <v>627</v>
      </c>
      <c r="P110" s="2" t="s">
        <v>104</v>
      </c>
      <c r="Q110" s="5">
        <v>1780</v>
      </c>
      <c r="R110" s="5">
        <v>50</v>
      </c>
      <c r="S110" s="5">
        <v>20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1850</v>
      </c>
      <c r="AG110" s="2" t="s">
        <v>1</v>
      </c>
      <c r="AH110" s="2" t="s">
        <v>628</v>
      </c>
      <c r="AI110" s="2" t="s">
        <v>1</v>
      </c>
      <c r="AJ110" s="2" t="s">
        <v>629</v>
      </c>
      <c r="AK110" s="2" t="s">
        <v>1</v>
      </c>
      <c r="AL110" s="2" t="s">
        <v>1</v>
      </c>
    </row>
    <row r="111" ht="17.5" customHeight="1" spans="1:38">
      <c r="A111" s="2" t="s">
        <v>630</v>
      </c>
      <c r="B111" s="2" t="s">
        <v>121</v>
      </c>
      <c r="C111" s="2" t="s">
        <v>1</v>
      </c>
      <c r="D111" s="2" t="s">
        <v>608</v>
      </c>
      <c r="E111" s="2" t="s">
        <v>609</v>
      </c>
      <c r="F111" s="2" t="s">
        <v>609</v>
      </c>
      <c r="G111" s="15" t="str">
        <f>VLOOKUP(F111,'[1]202501入账'!$A:$G,5,0)</f>
        <v>KA销售中心</v>
      </c>
      <c r="H111" s="15" t="str">
        <f>VLOOKUP(F111,'[1]202501入账'!$A:$G,6,0)</f>
        <v>渠道合作组-西南区</v>
      </c>
      <c r="I111" s="6">
        <v>45673.925</v>
      </c>
      <c r="J111" s="6">
        <v>45675.4340277778</v>
      </c>
      <c r="K111" s="2" t="s">
        <v>101</v>
      </c>
      <c r="L111" s="6" t="s">
        <v>1</v>
      </c>
      <c r="M111" s="2" t="s">
        <v>1</v>
      </c>
      <c r="N111" s="2" t="s">
        <v>631</v>
      </c>
      <c r="O111" s="16" t="s">
        <v>632</v>
      </c>
      <c r="P111" s="2" t="s">
        <v>104</v>
      </c>
      <c r="Q111" s="5">
        <v>1310</v>
      </c>
      <c r="R111" s="5">
        <v>50</v>
      </c>
      <c r="S111" s="5">
        <v>20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1380</v>
      </c>
      <c r="AG111" s="2" t="s">
        <v>1</v>
      </c>
      <c r="AH111" s="2" t="s">
        <v>633</v>
      </c>
      <c r="AI111" s="2" t="s">
        <v>1</v>
      </c>
      <c r="AJ111" s="2" t="s">
        <v>634</v>
      </c>
      <c r="AK111" s="2" t="s">
        <v>1</v>
      </c>
      <c r="AL111" s="2" t="s">
        <v>1</v>
      </c>
    </row>
    <row r="112" ht="17.5" customHeight="1" spans="1:38">
      <c r="A112" s="2" t="s">
        <v>635</v>
      </c>
      <c r="B112" s="2" t="s">
        <v>121</v>
      </c>
      <c r="C112" s="2" t="s">
        <v>1</v>
      </c>
      <c r="D112" s="2" t="s">
        <v>575</v>
      </c>
      <c r="E112" s="2" t="s">
        <v>576</v>
      </c>
      <c r="F112" s="2" t="s">
        <v>576</v>
      </c>
      <c r="G112" s="15" t="str">
        <f>VLOOKUP(F112,'[1]202501入账'!$A:$G,5,0)</f>
        <v>KA销售中心</v>
      </c>
      <c r="H112" s="15" t="str">
        <f>VLOOKUP(F112,'[1]202501入账'!$A:$G,6,0)</f>
        <v>渠道合作组-西南区</v>
      </c>
      <c r="I112" s="6">
        <v>45673.9277777778</v>
      </c>
      <c r="J112" s="6">
        <v>45675.4340277778</v>
      </c>
      <c r="K112" s="2" t="s">
        <v>101</v>
      </c>
      <c r="L112" s="6" t="s">
        <v>1</v>
      </c>
      <c r="M112" s="2" t="s">
        <v>1</v>
      </c>
      <c r="N112" s="2" t="s">
        <v>631</v>
      </c>
      <c r="O112" s="16" t="s">
        <v>632</v>
      </c>
      <c r="P112" s="2" t="s">
        <v>104</v>
      </c>
      <c r="Q112" s="5">
        <v>1310</v>
      </c>
      <c r="R112" s="5">
        <v>50</v>
      </c>
      <c r="S112" s="5">
        <v>20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30</v>
      </c>
      <c r="AD112" s="5">
        <v>0</v>
      </c>
      <c r="AE112" s="5">
        <v>0</v>
      </c>
      <c r="AF112" s="5">
        <v>1410</v>
      </c>
      <c r="AG112" s="2" t="s">
        <v>1</v>
      </c>
      <c r="AH112" s="2" t="s">
        <v>636</v>
      </c>
      <c r="AI112" s="2" t="s">
        <v>1</v>
      </c>
      <c r="AJ112" s="2" t="s">
        <v>637</v>
      </c>
      <c r="AK112" s="2" t="s">
        <v>1</v>
      </c>
      <c r="AL112" s="2" t="s">
        <v>1</v>
      </c>
    </row>
    <row r="113" ht="17.5" customHeight="1" spans="1:38">
      <c r="A113" s="2" t="s">
        <v>638</v>
      </c>
      <c r="B113" s="2" t="s">
        <v>121</v>
      </c>
      <c r="C113" s="2" t="s">
        <v>1</v>
      </c>
      <c r="D113" s="2" t="s">
        <v>114</v>
      </c>
      <c r="E113" s="2" t="s">
        <v>115</v>
      </c>
      <c r="F113" s="2" t="s">
        <v>115</v>
      </c>
      <c r="G113" s="15" t="str">
        <f>VLOOKUP(F113,'[1]202501入账'!$A:$G,5,0)</f>
        <v>中心负责人</v>
      </c>
      <c r="H113" s="15" t="str">
        <f>VLOOKUP(F113,'[1]202501入账'!$A:$G,6,0)</f>
        <v/>
      </c>
      <c r="I113" s="6">
        <v>45674.0125</v>
      </c>
      <c r="J113" s="6">
        <v>45680.8020833333</v>
      </c>
      <c r="K113" s="2" t="s">
        <v>101</v>
      </c>
      <c r="L113" s="6" t="s">
        <v>1</v>
      </c>
      <c r="M113" s="2" t="s">
        <v>1</v>
      </c>
      <c r="N113" s="2" t="s">
        <v>116</v>
      </c>
      <c r="O113" s="16" t="s">
        <v>273</v>
      </c>
      <c r="P113" s="2" t="s">
        <v>104</v>
      </c>
      <c r="Q113" s="5">
        <v>1790</v>
      </c>
      <c r="R113" s="5">
        <v>50</v>
      </c>
      <c r="S113" s="5">
        <v>20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30</v>
      </c>
      <c r="AD113" s="5">
        <v>0</v>
      </c>
      <c r="AE113" s="5">
        <v>0</v>
      </c>
      <c r="AF113" s="5">
        <v>1890</v>
      </c>
      <c r="AG113" s="2" t="s">
        <v>1</v>
      </c>
      <c r="AH113" s="2" t="s">
        <v>639</v>
      </c>
      <c r="AI113" s="2" t="s">
        <v>1</v>
      </c>
      <c r="AJ113" s="2" t="s">
        <v>640</v>
      </c>
      <c r="AK113" s="2" t="s">
        <v>1</v>
      </c>
      <c r="AL113" s="2" t="s">
        <v>1</v>
      </c>
    </row>
    <row r="114" ht="17.5" customHeight="1" spans="1:38">
      <c r="A114" s="2" t="s">
        <v>641</v>
      </c>
      <c r="B114" s="2" t="s">
        <v>121</v>
      </c>
      <c r="C114" s="2" t="s">
        <v>1</v>
      </c>
      <c r="D114" s="2" t="s">
        <v>99</v>
      </c>
      <c r="E114" s="2" t="s">
        <v>100</v>
      </c>
      <c r="F114" s="2" t="s">
        <v>100</v>
      </c>
      <c r="G114" s="15" t="str">
        <f>VLOOKUP(F114,'[1]202501入账'!$A:$G,5,0)</f>
        <v>中心负责人</v>
      </c>
      <c r="H114" s="15" t="str">
        <f>VLOOKUP(F114,'[1]202501入账'!$A:$G,6,0)</f>
        <v/>
      </c>
      <c r="I114" s="6">
        <v>45674.0423611111</v>
      </c>
      <c r="J114" s="6">
        <v>45677.3333333333</v>
      </c>
      <c r="K114" s="2" t="s">
        <v>101</v>
      </c>
      <c r="L114" s="6" t="s">
        <v>1</v>
      </c>
      <c r="M114" s="2" t="s">
        <v>1</v>
      </c>
      <c r="N114" s="2" t="s">
        <v>642</v>
      </c>
      <c r="O114" s="16" t="s">
        <v>643</v>
      </c>
      <c r="P114" s="2" t="s">
        <v>104</v>
      </c>
      <c r="Q114" s="5">
        <v>1040</v>
      </c>
      <c r="R114" s="5">
        <v>50</v>
      </c>
      <c r="S114" s="5">
        <v>20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1110</v>
      </c>
      <c r="AG114" s="2" t="s">
        <v>1</v>
      </c>
      <c r="AH114" s="2" t="s">
        <v>644</v>
      </c>
      <c r="AI114" s="2" t="s">
        <v>1</v>
      </c>
      <c r="AJ114" s="2" t="s">
        <v>645</v>
      </c>
      <c r="AK114" s="2" t="s">
        <v>1</v>
      </c>
      <c r="AL114" s="2" t="s">
        <v>1</v>
      </c>
    </row>
    <row r="115" ht="17.5" customHeight="1" spans="1:38">
      <c r="A115" s="2" t="s">
        <v>641</v>
      </c>
      <c r="B115" s="2" t="s">
        <v>121</v>
      </c>
      <c r="C115" s="2" t="s">
        <v>1</v>
      </c>
      <c r="D115" s="2" t="s">
        <v>99</v>
      </c>
      <c r="E115" s="2" t="s">
        <v>100</v>
      </c>
      <c r="F115" s="2" t="s">
        <v>100</v>
      </c>
      <c r="G115" s="15" t="str">
        <f>VLOOKUP(F115,'[1]202501入账'!$A:$G,5,0)</f>
        <v>中心负责人</v>
      </c>
      <c r="H115" s="15" t="str">
        <f>VLOOKUP(F115,'[1]202501入账'!$A:$G,6,0)</f>
        <v/>
      </c>
      <c r="I115" s="6">
        <v>45674.0423611111</v>
      </c>
      <c r="J115" s="6">
        <v>45677.8715277778</v>
      </c>
      <c r="K115" s="2" t="s">
        <v>101</v>
      </c>
      <c r="L115" s="6" t="s">
        <v>1</v>
      </c>
      <c r="M115" s="2" t="s">
        <v>1</v>
      </c>
      <c r="N115" s="2" t="s">
        <v>470</v>
      </c>
      <c r="O115" s="16" t="s">
        <v>646</v>
      </c>
      <c r="P115" s="2" t="s">
        <v>104</v>
      </c>
      <c r="Q115" s="5">
        <v>660</v>
      </c>
      <c r="R115" s="5">
        <v>50</v>
      </c>
      <c r="S115" s="5">
        <v>20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730</v>
      </c>
      <c r="AG115" s="2" t="s">
        <v>1</v>
      </c>
      <c r="AH115" s="2" t="s">
        <v>644</v>
      </c>
      <c r="AI115" s="2" t="s">
        <v>1</v>
      </c>
      <c r="AJ115" s="2" t="s">
        <v>645</v>
      </c>
      <c r="AK115" s="2" t="s">
        <v>1</v>
      </c>
      <c r="AL115" s="2" t="s">
        <v>1</v>
      </c>
    </row>
    <row r="116" ht="17.5" customHeight="1" spans="1:38">
      <c r="A116" s="2" t="s">
        <v>647</v>
      </c>
      <c r="B116" s="2" t="s">
        <v>112</v>
      </c>
      <c r="C116" s="2" t="s">
        <v>379</v>
      </c>
      <c r="D116" s="2" t="s">
        <v>122</v>
      </c>
      <c r="E116" s="2" t="s">
        <v>123</v>
      </c>
      <c r="F116" s="4" t="s">
        <v>123</v>
      </c>
      <c r="G116" s="15" t="str">
        <f>VLOOKUP(F116,'[1]202501入账'!$A:$G,5,0)</f>
        <v>电商产品中心</v>
      </c>
      <c r="H116" s="15" t="str">
        <f>VLOOKUP(F116,'[1]202501入账'!$A:$G,6,0)</f>
        <v>电商产品组</v>
      </c>
      <c r="I116" s="6">
        <v>45674.4291666667</v>
      </c>
      <c r="J116" s="6">
        <v>45676.3854166667</v>
      </c>
      <c r="K116" s="2" t="s">
        <v>101</v>
      </c>
      <c r="L116" s="6" t="s">
        <v>1</v>
      </c>
      <c r="M116" s="2" t="s">
        <v>1</v>
      </c>
      <c r="N116" s="2" t="s">
        <v>347</v>
      </c>
      <c r="O116" s="16" t="s">
        <v>348</v>
      </c>
      <c r="P116" s="2" t="s">
        <v>104</v>
      </c>
      <c r="Q116" s="5">
        <v>1380</v>
      </c>
      <c r="R116" s="5">
        <v>50</v>
      </c>
      <c r="S116" s="5">
        <v>20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3</v>
      </c>
      <c r="AC116" s="5">
        <v>0</v>
      </c>
      <c r="AD116" s="5">
        <v>0</v>
      </c>
      <c r="AE116" s="5">
        <v>0</v>
      </c>
      <c r="AF116" s="5">
        <v>1453</v>
      </c>
      <c r="AG116" s="2" t="s">
        <v>1</v>
      </c>
      <c r="AH116" s="2" t="s">
        <v>648</v>
      </c>
      <c r="AI116" s="2" t="s">
        <v>1</v>
      </c>
      <c r="AJ116" s="2" t="s">
        <v>649</v>
      </c>
      <c r="AK116" s="2" t="s">
        <v>1</v>
      </c>
      <c r="AL116" s="2" t="s">
        <v>1</v>
      </c>
    </row>
    <row r="117" ht="17.5" customHeight="1" spans="1:38">
      <c r="A117" s="2" t="s">
        <v>650</v>
      </c>
      <c r="B117" s="2" t="s">
        <v>121</v>
      </c>
      <c r="C117" s="2" t="s">
        <v>1</v>
      </c>
      <c r="D117" s="2" t="s">
        <v>122</v>
      </c>
      <c r="E117" s="2" t="s">
        <v>123</v>
      </c>
      <c r="F117" s="2" t="s">
        <v>123</v>
      </c>
      <c r="G117" s="15" t="str">
        <f>VLOOKUP(F117,'[1]202501入账'!$A:$G,5,0)</f>
        <v>电商产品中心</v>
      </c>
      <c r="H117" s="15" t="str">
        <f>VLOOKUP(F117,'[1]202501入账'!$A:$G,6,0)</f>
        <v>电商产品组</v>
      </c>
      <c r="I117" s="6">
        <v>45674.4305555556</v>
      </c>
      <c r="J117" s="6">
        <v>45676.8159722222</v>
      </c>
      <c r="K117" s="2" t="s">
        <v>101</v>
      </c>
      <c r="L117" s="6" t="s">
        <v>1</v>
      </c>
      <c r="M117" s="2" t="s">
        <v>1</v>
      </c>
      <c r="N117" s="2" t="s">
        <v>299</v>
      </c>
      <c r="O117" s="16" t="s">
        <v>651</v>
      </c>
      <c r="P117" s="2" t="s">
        <v>104</v>
      </c>
      <c r="Q117" s="5">
        <v>500</v>
      </c>
      <c r="R117" s="5">
        <v>50</v>
      </c>
      <c r="S117" s="5">
        <v>20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570</v>
      </c>
      <c r="AG117" s="2" t="s">
        <v>1</v>
      </c>
      <c r="AH117" s="2" t="s">
        <v>652</v>
      </c>
      <c r="AI117" s="2" t="s">
        <v>1</v>
      </c>
      <c r="AJ117" s="2" t="s">
        <v>653</v>
      </c>
      <c r="AK117" s="2" t="s">
        <v>1</v>
      </c>
      <c r="AL117" s="2" t="s">
        <v>1</v>
      </c>
    </row>
    <row r="118" ht="17.5" customHeight="1" spans="1:38">
      <c r="A118" s="2" t="s">
        <v>654</v>
      </c>
      <c r="B118" s="2" t="s">
        <v>121</v>
      </c>
      <c r="C118" s="2" t="s">
        <v>1</v>
      </c>
      <c r="D118" s="2" t="s">
        <v>243</v>
      </c>
      <c r="E118" s="2" t="s">
        <v>244</v>
      </c>
      <c r="F118" s="2" t="s">
        <v>244</v>
      </c>
      <c r="G118" s="15" t="str">
        <f>VLOOKUP(F118,'[1]202501入账'!$A:$G,5,0)</f>
        <v>KA销售中心</v>
      </c>
      <c r="H118" s="15" t="str">
        <f>VLOOKUP(F118,'[1]202501入账'!$A:$G,6,0)</f>
        <v>渠道合作组-西南区</v>
      </c>
      <c r="I118" s="6">
        <v>45675.3826388889</v>
      </c>
      <c r="J118" s="6">
        <v>45675.5833333333</v>
      </c>
      <c r="K118" s="2" t="s">
        <v>101</v>
      </c>
      <c r="L118" s="6" t="s">
        <v>1</v>
      </c>
      <c r="M118" s="2" t="s">
        <v>1</v>
      </c>
      <c r="N118" s="2" t="s">
        <v>631</v>
      </c>
      <c r="O118" s="16" t="s">
        <v>655</v>
      </c>
      <c r="P118" s="2" t="s">
        <v>104</v>
      </c>
      <c r="Q118" s="5">
        <v>1080</v>
      </c>
      <c r="R118" s="5">
        <v>50</v>
      </c>
      <c r="S118" s="5">
        <v>20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30</v>
      </c>
      <c r="AD118" s="5">
        <v>0</v>
      </c>
      <c r="AE118" s="5">
        <v>0</v>
      </c>
      <c r="AF118" s="5">
        <v>1180</v>
      </c>
      <c r="AG118" s="2" t="s">
        <v>1</v>
      </c>
      <c r="AH118" s="2" t="s">
        <v>656</v>
      </c>
      <c r="AI118" s="2" t="s">
        <v>1</v>
      </c>
      <c r="AJ118" s="2" t="s">
        <v>657</v>
      </c>
      <c r="AK118" s="2" t="s">
        <v>1</v>
      </c>
      <c r="AL118" s="2" t="s">
        <v>1</v>
      </c>
    </row>
    <row r="119" ht="17.5" customHeight="1" spans="1:38">
      <c r="A119" s="2" t="s">
        <v>658</v>
      </c>
      <c r="B119" s="2" t="s">
        <v>121</v>
      </c>
      <c r="C119" s="2" t="s">
        <v>379</v>
      </c>
      <c r="D119" s="2" t="s">
        <v>192</v>
      </c>
      <c r="E119" s="2" t="s">
        <v>193</v>
      </c>
      <c r="F119" s="2" t="s">
        <v>193</v>
      </c>
      <c r="G119" s="15" t="str">
        <f>VLOOKUP(F119,'[1]202501入账'!$A:$G,5,0)</f>
        <v>运营支持中心</v>
      </c>
      <c r="H119" s="15" t="str">
        <f>VLOOKUP(F119,'[1]202501入账'!$A:$G,6,0)</f>
        <v>新零售服务一组</v>
      </c>
      <c r="I119" s="6">
        <v>45675.5388888889</v>
      </c>
      <c r="J119" s="6">
        <v>45675.84375</v>
      </c>
      <c r="K119" s="2" t="s">
        <v>101</v>
      </c>
      <c r="L119" s="6" t="s">
        <v>1</v>
      </c>
      <c r="M119" s="2" t="s">
        <v>1</v>
      </c>
      <c r="N119" s="2" t="s">
        <v>124</v>
      </c>
      <c r="O119" s="16" t="s">
        <v>659</v>
      </c>
      <c r="P119" s="2" t="s">
        <v>104</v>
      </c>
      <c r="Q119" s="5">
        <v>1110</v>
      </c>
      <c r="R119" s="5">
        <v>50</v>
      </c>
      <c r="S119" s="5">
        <v>20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3</v>
      </c>
      <c r="AC119" s="5">
        <v>0</v>
      </c>
      <c r="AD119" s="5">
        <v>0</v>
      </c>
      <c r="AE119" s="5">
        <v>0</v>
      </c>
      <c r="AF119" s="5">
        <v>1183</v>
      </c>
      <c r="AG119" s="2" t="s">
        <v>1</v>
      </c>
      <c r="AH119" s="2" t="s">
        <v>660</v>
      </c>
      <c r="AI119" s="2" t="s">
        <v>1</v>
      </c>
      <c r="AJ119" s="2" t="s">
        <v>661</v>
      </c>
      <c r="AK119" s="2" t="s">
        <v>1</v>
      </c>
      <c r="AL119" s="2" t="s">
        <v>1</v>
      </c>
    </row>
    <row r="120" ht="17.5" customHeight="1" spans="1:38">
      <c r="A120" s="2" t="s">
        <v>662</v>
      </c>
      <c r="B120" s="2" t="s">
        <v>121</v>
      </c>
      <c r="C120" s="2" t="s">
        <v>379</v>
      </c>
      <c r="D120" s="2" t="s">
        <v>663</v>
      </c>
      <c r="E120" s="2" t="s">
        <v>664</v>
      </c>
      <c r="F120" s="2" t="s">
        <v>664</v>
      </c>
      <c r="G120" s="15" t="str">
        <f>VLOOKUP(F120,'[1]202501入账'!$A:$G,5,0)</f>
        <v>电商产品中心</v>
      </c>
      <c r="H120" s="15" t="str">
        <f>VLOOKUP(F120,'[1]202501入账'!$A:$G,6,0)</f>
        <v>电商产品组</v>
      </c>
      <c r="I120" s="6">
        <v>45675.5527777778</v>
      </c>
      <c r="J120" s="6">
        <v>45675.84375</v>
      </c>
      <c r="K120" s="2" t="s">
        <v>101</v>
      </c>
      <c r="L120" s="6" t="s">
        <v>1</v>
      </c>
      <c r="M120" s="2" t="s">
        <v>1</v>
      </c>
      <c r="N120" s="2" t="s">
        <v>124</v>
      </c>
      <c r="O120" s="16" t="s">
        <v>659</v>
      </c>
      <c r="P120" s="2" t="s">
        <v>104</v>
      </c>
      <c r="Q120" s="5">
        <v>1110</v>
      </c>
      <c r="R120" s="5">
        <v>50</v>
      </c>
      <c r="S120" s="5">
        <v>20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3</v>
      </c>
      <c r="AC120" s="5">
        <v>30</v>
      </c>
      <c r="AD120" s="5">
        <v>0</v>
      </c>
      <c r="AE120" s="5">
        <v>0</v>
      </c>
      <c r="AF120" s="5">
        <v>1213</v>
      </c>
      <c r="AG120" s="2" t="s">
        <v>1</v>
      </c>
      <c r="AH120" s="2" t="s">
        <v>665</v>
      </c>
      <c r="AI120" s="2" t="s">
        <v>1</v>
      </c>
      <c r="AJ120" s="2" t="s">
        <v>666</v>
      </c>
      <c r="AK120" s="2" t="s">
        <v>1</v>
      </c>
      <c r="AL120" s="2" t="s">
        <v>1</v>
      </c>
    </row>
    <row r="121" ht="17.5" customHeight="1" spans="1:38">
      <c r="A121" s="2" t="s">
        <v>667</v>
      </c>
      <c r="B121" s="2" t="s">
        <v>112</v>
      </c>
      <c r="C121" s="2" t="s">
        <v>379</v>
      </c>
      <c r="D121" s="2" t="s">
        <v>464</v>
      </c>
      <c r="E121" s="2" t="s">
        <v>465</v>
      </c>
      <c r="F121" s="2" t="s">
        <v>465</v>
      </c>
      <c r="G121" s="15" t="str">
        <f>VLOOKUP(F121,'[1]202501入账'!$A:$G,5,0)</f>
        <v>KA销售中心</v>
      </c>
      <c r="H121" s="15" t="str">
        <f>VLOOKUP(F121,'[1]202501入账'!$A:$G,6,0)</f>
        <v>渠道合作组-西南区</v>
      </c>
      <c r="I121" s="6">
        <v>45675.6993055556</v>
      </c>
      <c r="J121" s="6">
        <v>45676.6041666667</v>
      </c>
      <c r="K121" s="2" t="s">
        <v>101</v>
      </c>
      <c r="L121" s="6" t="s">
        <v>1</v>
      </c>
      <c r="M121" s="2" t="s">
        <v>1</v>
      </c>
      <c r="N121" s="2" t="s">
        <v>176</v>
      </c>
      <c r="O121" s="16" t="s">
        <v>375</v>
      </c>
      <c r="P121" s="2" t="s">
        <v>104</v>
      </c>
      <c r="Q121" s="5">
        <v>1681</v>
      </c>
      <c r="R121" s="5">
        <v>50</v>
      </c>
      <c r="S121" s="5">
        <v>20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3</v>
      </c>
      <c r="AC121" s="5">
        <v>30</v>
      </c>
      <c r="AD121" s="5">
        <v>0</v>
      </c>
      <c r="AE121" s="5">
        <v>0</v>
      </c>
      <c r="AF121" s="5">
        <v>1784</v>
      </c>
      <c r="AG121" s="2" t="s">
        <v>1</v>
      </c>
      <c r="AH121" s="2" t="s">
        <v>668</v>
      </c>
      <c r="AI121" s="2" t="s">
        <v>1</v>
      </c>
      <c r="AJ121" s="2" t="s">
        <v>669</v>
      </c>
      <c r="AK121" s="2" t="s">
        <v>1</v>
      </c>
      <c r="AL121" s="2" t="s">
        <v>1</v>
      </c>
    </row>
    <row r="122" ht="17.5" customHeight="1" spans="1:38">
      <c r="A122" s="2" t="s">
        <v>670</v>
      </c>
      <c r="B122" s="2" t="s">
        <v>112</v>
      </c>
      <c r="C122" s="2" t="s">
        <v>379</v>
      </c>
      <c r="D122" s="2" t="s">
        <v>459</v>
      </c>
      <c r="E122" s="2" t="s">
        <v>460</v>
      </c>
      <c r="F122" s="2" t="s">
        <v>460</v>
      </c>
      <c r="G122" s="15" t="str">
        <f>VLOOKUP(F122,'[1]202501入账'!$A:$G,5,0)</f>
        <v>战略投资中心</v>
      </c>
      <c r="H122" s="15" t="str">
        <f>VLOOKUP(F122,'[1]202501入账'!$A:$G,6,0)</f>
        <v>投资组</v>
      </c>
      <c r="I122" s="6">
        <v>45675.9020833333</v>
      </c>
      <c r="J122" s="6">
        <v>45679.7604166667</v>
      </c>
      <c r="K122" s="2" t="s">
        <v>101</v>
      </c>
      <c r="L122" s="6" t="s">
        <v>1</v>
      </c>
      <c r="M122" s="2" t="s">
        <v>1</v>
      </c>
      <c r="N122" s="2" t="s">
        <v>116</v>
      </c>
      <c r="O122" s="16" t="s">
        <v>117</v>
      </c>
      <c r="P122" s="2" t="s">
        <v>104</v>
      </c>
      <c r="Q122" s="5">
        <v>1850</v>
      </c>
      <c r="R122" s="5">
        <v>50</v>
      </c>
      <c r="S122" s="5">
        <v>20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3</v>
      </c>
      <c r="AC122" s="5">
        <v>0</v>
      </c>
      <c r="AD122" s="5">
        <v>0</v>
      </c>
      <c r="AE122" s="5">
        <v>0</v>
      </c>
      <c r="AF122" s="5">
        <v>1923</v>
      </c>
      <c r="AG122" s="2" t="s">
        <v>1</v>
      </c>
      <c r="AH122" s="2" t="s">
        <v>671</v>
      </c>
      <c r="AI122" s="2" t="s">
        <v>1</v>
      </c>
      <c r="AJ122" s="2" t="s">
        <v>672</v>
      </c>
      <c r="AK122" s="2" t="s">
        <v>1</v>
      </c>
      <c r="AL122" s="2" t="s">
        <v>1</v>
      </c>
    </row>
    <row r="123" ht="17.5" customHeight="1" spans="1:38">
      <c r="A123" s="2" t="s">
        <v>673</v>
      </c>
      <c r="B123" s="2" t="s">
        <v>112</v>
      </c>
      <c r="C123" s="2" t="s">
        <v>379</v>
      </c>
      <c r="D123" s="2" t="s">
        <v>674</v>
      </c>
      <c r="E123" s="2" t="s">
        <v>675</v>
      </c>
      <c r="F123" s="2" t="s">
        <v>675</v>
      </c>
      <c r="G123" s="15" t="str">
        <f>VLOOKUP(F123,'[1]202501入账'!$A:$G,5,0)</f>
        <v>KA销售中心</v>
      </c>
      <c r="H123" s="15" t="str">
        <f>VLOOKUP(F123,'[1]202501入账'!$A:$G,6,0)</f>
        <v>渠道合作组-西南区</v>
      </c>
      <c r="I123" s="6">
        <v>45676.4597222222</v>
      </c>
      <c r="J123" s="6">
        <v>45677.8715277778</v>
      </c>
      <c r="K123" s="2" t="s">
        <v>101</v>
      </c>
      <c r="L123" s="6" t="s">
        <v>1</v>
      </c>
      <c r="M123" s="2" t="s">
        <v>1</v>
      </c>
      <c r="N123" s="2" t="s">
        <v>676</v>
      </c>
      <c r="O123" s="16" t="s">
        <v>677</v>
      </c>
      <c r="P123" s="2" t="s">
        <v>104</v>
      </c>
      <c r="Q123" s="5">
        <v>710</v>
      </c>
      <c r="R123" s="5">
        <v>50</v>
      </c>
      <c r="S123" s="5">
        <v>20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3</v>
      </c>
      <c r="AC123" s="5">
        <v>0</v>
      </c>
      <c r="AD123" s="5">
        <v>0</v>
      </c>
      <c r="AE123" s="5">
        <v>0</v>
      </c>
      <c r="AF123" s="5">
        <v>783</v>
      </c>
      <c r="AG123" s="2" t="s">
        <v>1</v>
      </c>
      <c r="AH123" s="2" t="s">
        <v>678</v>
      </c>
      <c r="AI123" s="2" t="s">
        <v>1</v>
      </c>
      <c r="AJ123" s="2" t="s">
        <v>679</v>
      </c>
      <c r="AK123" s="2" t="s">
        <v>1</v>
      </c>
      <c r="AL123" s="2" t="s">
        <v>1</v>
      </c>
    </row>
    <row r="124" ht="17.5" customHeight="1" spans="1:38">
      <c r="A124" s="2" t="s">
        <v>680</v>
      </c>
      <c r="B124" s="2" t="s">
        <v>121</v>
      </c>
      <c r="C124" s="2" t="s">
        <v>1</v>
      </c>
      <c r="D124" s="2" t="s">
        <v>663</v>
      </c>
      <c r="E124" s="2" t="s">
        <v>664</v>
      </c>
      <c r="F124" s="2" t="s">
        <v>664</v>
      </c>
      <c r="G124" s="15" t="str">
        <f>VLOOKUP(F124,'[1]202501入账'!$A:$G,5,0)</f>
        <v>电商产品中心</v>
      </c>
      <c r="H124" s="15" t="str">
        <f>VLOOKUP(F124,'[1]202501入账'!$A:$G,6,0)</f>
        <v>电商产品组</v>
      </c>
      <c r="I124" s="6">
        <v>45676.7069444444</v>
      </c>
      <c r="J124" s="6">
        <v>45676.9166666667</v>
      </c>
      <c r="K124" s="2" t="s">
        <v>101</v>
      </c>
      <c r="L124" s="6" t="s">
        <v>1</v>
      </c>
      <c r="M124" s="2" t="s">
        <v>1</v>
      </c>
      <c r="N124" s="2" t="s">
        <v>136</v>
      </c>
      <c r="O124" s="16" t="s">
        <v>614</v>
      </c>
      <c r="P124" s="2" t="s">
        <v>104</v>
      </c>
      <c r="Q124" s="5">
        <v>1060</v>
      </c>
      <c r="R124" s="5">
        <v>50</v>
      </c>
      <c r="S124" s="5">
        <v>20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30</v>
      </c>
      <c r="AD124" s="5">
        <v>0</v>
      </c>
      <c r="AE124" s="5">
        <v>0</v>
      </c>
      <c r="AF124" s="5">
        <v>1160</v>
      </c>
      <c r="AG124" s="2" t="s">
        <v>1</v>
      </c>
      <c r="AH124" s="2" t="s">
        <v>681</v>
      </c>
      <c r="AI124" s="2" t="s">
        <v>1</v>
      </c>
      <c r="AJ124" s="2" t="s">
        <v>682</v>
      </c>
      <c r="AK124" s="2" t="s">
        <v>1</v>
      </c>
      <c r="AL124" s="2" t="s">
        <v>1</v>
      </c>
    </row>
    <row r="125" ht="17.5" customHeight="1" spans="1:38">
      <c r="A125" s="2" t="s">
        <v>683</v>
      </c>
      <c r="B125" s="2" t="s">
        <v>112</v>
      </c>
      <c r="C125" s="2" t="s">
        <v>379</v>
      </c>
      <c r="D125" s="2" t="s">
        <v>192</v>
      </c>
      <c r="E125" s="2" t="s">
        <v>193</v>
      </c>
      <c r="F125" s="2" t="s">
        <v>193</v>
      </c>
      <c r="G125" s="15" t="str">
        <f>VLOOKUP(F125,'[1]202501入账'!$A:$G,5,0)</f>
        <v>运营支持中心</v>
      </c>
      <c r="H125" s="15" t="str">
        <f>VLOOKUP(F125,'[1]202501入账'!$A:$G,6,0)</f>
        <v>新零售服务一组</v>
      </c>
      <c r="I125" s="6">
        <v>45676.8638888889</v>
      </c>
      <c r="J125" s="6">
        <v>45677.8784722222</v>
      </c>
      <c r="K125" s="2" t="s">
        <v>101</v>
      </c>
      <c r="L125" s="6">
        <v>45677.7708333333</v>
      </c>
      <c r="M125" s="2" t="s">
        <v>613</v>
      </c>
      <c r="N125" s="2" t="s">
        <v>136</v>
      </c>
      <c r="O125" s="16" t="s">
        <v>614</v>
      </c>
      <c r="P125" s="2" t="s">
        <v>104</v>
      </c>
      <c r="Q125" s="5">
        <v>630</v>
      </c>
      <c r="R125" s="5">
        <v>50</v>
      </c>
      <c r="S125" s="5">
        <v>20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3</v>
      </c>
      <c r="AC125" s="5">
        <v>30</v>
      </c>
      <c r="AD125" s="5">
        <v>0</v>
      </c>
      <c r="AE125" s="5">
        <v>0</v>
      </c>
      <c r="AF125" s="5">
        <v>733</v>
      </c>
      <c r="AG125" s="2" t="s">
        <v>1</v>
      </c>
      <c r="AH125" s="2" t="s">
        <v>684</v>
      </c>
      <c r="AI125" s="2" t="s">
        <v>684</v>
      </c>
      <c r="AJ125" s="2" t="s">
        <v>685</v>
      </c>
      <c r="AK125" s="2" t="s">
        <v>685</v>
      </c>
      <c r="AL125" s="2" t="s">
        <v>379</v>
      </c>
    </row>
    <row r="126" ht="18" customHeight="1" spans="1:38">
      <c r="A126" s="7"/>
      <c r="B126" s="7"/>
      <c r="C126" s="7"/>
      <c r="D126" s="7"/>
      <c r="E126" s="7"/>
      <c r="F126" s="7"/>
      <c r="G126" s="15" t="e">
        <f>VLOOKUP(F126,'[1]202501入账'!$A:$G,5,0)</f>
        <v>#N/A</v>
      </c>
      <c r="H126" s="15" t="e">
        <f>VLOOKUP(F126,'[1]202501入账'!$A:$G,6,0)</f>
        <v>#N/A</v>
      </c>
      <c r="I126" s="7"/>
      <c r="J126" s="7"/>
      <c r="K126" s="7"/>
      <c r="L126" s="7"/>
      <c r="M126" s="7"/>
      <c r="N126" s="7"/>
      <c r="O126" s="7"/>
      <c r="P126" s="7"/>
      <c r="Q126" s="7">
        <v>130163</v>
      </c>
      <c r="R126" s="7">
        <v>5700</v>
      </c>
      <c r="S126" s="7">
        <v>2280</v>
      </c>
      <c r="T126" s="7">
        <v>0</v>
      </c>
      <c r="U126" s="7">
        <v>160</v>
      </c>
      <c r="V126" s="7">
        <v>0</v>
      </c>
      <c r="W126" s="7">
        <v>2391</v>
      </c>
      <c r="X126" s="7">
        <v>3190</v>
      </c>
      <c r="Y126" s="7">
        <v>0</v>
      </c>
      <c r="Z126" s="7">
        <v>0</v>
      </c>
      <c r="AA126" s="7">
        <v>0</v>
      </c>
      <c r="AB126" s="7">
        <v>126</v>
      </c>
      <c r="AC126" s="7">
        <v>1650</v>
      </c>
      <c r="AD126" s="7">
        <v>0</v>
      </c>
      <c r="AE126" s="7">
        <v>0</v>
      </c>
      <c r="AF126" s="7">
        <v>145660</v>
      </c>
      <c r="AG126" s="7"/>
      <c r="AH126" s="7"/>
      <c r="AI126" s="7"/>
      <c r="AJ126" s="7"/>
      <c r="AK126" s="7"/>
      <c r="AL126" s="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18"/>
  <sheetViews>
    <sheetView workbookViewId="0">
      <selection activeCell="E1" sqref="E1"/>
    </sheetView>
  </sheetViews>
  <sheetFormatPr defaultColWidth="9" defaultRowHeight="14.4"/>
  <cols>
    <col min="1" max="1" width="16" customWidth="1"/>
    <col min="2" max="2" width="14" customWidth="1"/>
    <col min="3" max="4" width="10" customWidth="1"/>
    <col min="5" max="5" width="27" customWidth="1"/>
    <col min="6" max="6" width="12" customWidth="1"/>
    <col min="7" max="7" width="17.6388888888889" customWidth="1"/>
    <col min="8" max="8" width="12" customWidth="1"/>
    <col min="9" max="11" width="18" customWidth="1"/>
    <col min="12" max="12" width="10" customWidth="1"/>
    <col min="13" max="15" width="30" customWidth="1"/>
    <col min="16" max="16" width="16" customWidth="1"/>
    <col min="17" max="18" width="10" customWidth="1"/>
    <col min="19" max="19" width="9" customWidth="1"/>
    <col min="20" max="20" width="11" customWidth="1"/>
    <col min="21" max="21" width="9" customWidth="1"/>
    <col min="22" max="22" width="12" customWidth="1"/>
    <col min="23" max="23" width="22" customWidth="1"/>
    <col min="24" max="24" width="30" customWidth="1"/>
    <col min="25" max="25" width="25" customWidth="1"/>
    <col min="26" max="26" width="11" customWidth="1"/>
    <col min="27" max="28" width="13" customWidth="1"/>
    <col min="29" max="31" width="9" customWidth="1"/>
    <col min="32" max="32" width="29" customWidth="1"/>
    <col min="33" max="33" width="10" customWidth="1"/>
    <col min="34" max="34" width="18" customWidth="1"/>
    <col min="35" max="35" width="11" customWidth="1"/>
    <col min="36" max="36" width="9" customWidth="1"/>
  </cols>
  <sheetData>
    <row r="1" ht="35" customHeight="1" spans="1:36">
      <c r="A1" s="1" t="s">
        <v>59</v>
      </c>
      <c r="B1" s="1" t="s">
        <v>686</v>
      </c>
      <c r="C1" s="1" t="s">
        <v>62</v>
      </c>
      <c r="D1" s="1" t="s">
        <v>63</v>
      </c>
      <c r="E1" s="1" t="s">
        <v>687</v>
      </c>
      <c r="F1" s="1" t="s">
        <v>65</v>
      </c>
      <c r="G1" s="1" t="s">
        <v>66</v>
      </c>
      <c r="H1" s="1" t="s">
        <v>688</v>
      </c>
      <c r="I1" s="1" t="s">
        <v>67</v>
      </c>
      <c r="J1" s="1" t="s">
        <v>689</v>
      </c>
      <c r="K1" s="1" t="s">
        <v>690</v>
      </c>
      <c r="L1" s="1" t="s">
        <v>691</v>
      </c>
      <c r="M1" s="1" t="s">
        <v>692</v>
      </c>
      <c r="N1" s="1" t="s">
        <v>693</v>
      </c>
      <c r="O1" s="1" t="s">
        <v>694</v>
      </c>
      <c r="P1" s="1" t="s">
        <v>89</v>
      </c>
      <c r="Q1" s="1" t="s">
        <v>695</v>
      </c>
      <c r="R1" s="1" t="s">
        <v>696</v>
      </c>
      <c r="S1" s="1" t="s">
        <v>697</v>
      </c>
      <c r="T1" s="1" t="s">
        <v>698</v>
      </c>
      <c r="U1" s="1" t="s">
        <v>18</v>
      </c>
      <c r="V1" s="1" t="s">
        <v>699</v>
      </c>
      <c r="W1" s="1" t="s">
        <v>700</v>
      </c>
      <c r="X1" s="1" t="s">
        <v>701</v>
      </c>
      <c r="Y1" s="1" t="s">
        <v>702</v>
      </c>
      <c r="Z1" s="1" t="s">
        <v>703</v>
      </c>
      <c r="AA1" s="1" t="s">
        <v>704</v>
      </c>
      <c r="AB1" s="1" t="s">
        <v>705</v>
      </c>
      <c r="AC1" s="1" t="s">
        <v>706</v>
      </c>
      <c r="AD1" s="1" t="s">
        <v>707</v>
      </c>
      <c r="AE1" s="1" t="s">
        <v>708</v>
      </c>
      <c r="AF1" s="1" t="s">
        <v>709</v>
      </c>
      <c r="AG1" s="1" t="s">
        <v>710</v>
      </c>
      <c r="AH1" s="1" t="s">
        <v>711</v>
      </c>
      <c r="AI1" s="1" t="s">
        <v>712</v>
      </c>
      <c r="AJ1" s="1" t="s">
        <v>713</v>
      </c>
    </row>
    <row r="2" ht="17.5" customHeight="1" spans="1:36">
      <c r="A2" s="8" t="s">
        <v>714</v>
      </c>
      <c r="B2" s="8" t="s">
        <v>715</v>
      </c>
      <c r="C2" s="8" t="s">
        <v>716</v>
      </c>
      <c r="D2" s="8" t="s">
        <v>717</v>
      </c>
      <c r="E2" s="8" t="s">
        <v>717</v>
      </c>
      <c r="F2" s="9" t="str">
        <f>VLOOKUP(E2,'[1]202501入账'!$A:$F,5,0)</f>
        <v>KA销售中心</v>
      </c>
      <c r="G2" s="9" t="str">
        <f>VLOOKUP(E2,'[1]202501入账'!$A:$F,6,0)</f>
        <v>KA销售组</v>
      </c>
      <c r="H2" s="8" t="s">
        <v>1</v>
      </c>
      <c r="I2" s="10">
        <v>45651.8465277778</v>
      </c>
      <c r="J2" s="11">
        <v>45652</v>
      </c>
      <c r="K2" s="11">
        <v>45653</v>
      </c>
      <c r="L2" s="8" t="s">
        <v>718</v>
      </c>
      <c r="M2" s="8" t="s">
        <v>719</v>
      </c>
      <c r="N2" s="8" t="s">
        <v>720</v>
      </c>
      <c r="O2" s="8" t="s">
        <v>721</v>
      </c>
      <c r="P2" s="12">
        <v>0</v>
      </c>
      <c r="Q2" s="13">
        <v>194</v>
      </c>
      <c r="R2" s="8">
        <v>1</v>
      </c>
      <c r="S2" s="8" t="s">
        <v>722</v>
      </c>
      <c r="T2" s="8">
        <v>-1</v>
      </c>
      <c r="U2" s="13">
        <v>-194</v>
      </c>
      <c r="V2" s="12">
        <v>0</v>
      </c>
      <c r="W2" s="8" t="s">
        <v>1</v>
      </c>
      <c r="X2" s="8" t="s">
        <v>723</v>
      </c>
      <c r="Y2" s="8" t="s">
        <v>724</v>
      </c>
      <c r="Z2" s="8" t="s">
        <v>1</v>
      </c>
      <c r="AA2" s="8" t="s">
        <v>1</v>
      </c>
      <c r="AB2" s="8" t="s">
        <v>1</v>
      </c>
      <c r="AC2" s="8" t="s">
        <v>1</v>
      </c>
      <c r="AD2" s="8" t="s">
        <v>1</v>
      </c>
      <c r="AE2" s="8" t="s">
        <v>1</v>
      </c>
      <c r="AF2" s="8" t="s">
        <v>725</v>
      </c>
      <c r="AG2" s="8" t="s">
        <v>101</v>
      </c>
      <c r="AH2" s="12">
        <v>0</v>
      </c>
      <c r="AI2" s="12">
        <v>-194</v>
      </c>
      <c r="AJ2" s="12">
        <v>0</v>
      </c>
    </row>
    <row r="3" ht="17.5" customHeight="1" spans="1:36">
      <c r="A3" s="2" t="s">
        <v>726</v>
      </c>
      <c r="B3" s="2" t="s">
        <v>727</v>
      </c>
      <c r="C3" s="2" t="s">
        <v>716</v>
      </c>
      <c r="D3" s="2" t="s">
        <v>717</v>
      </c>
      <c r="E3" s="2" t="s">
        <v>717</v>
      </c>
      <c r="F3" s="9" t="str">
        <f>VLOOKUP(E3,'[1]202501入账'!$A:$F,5,0)</f>
        <v>KA销售中心</v>
      </c>
      <c r="G3" s="9" t="str">
        <f>VLOOKUP(E3,'[1]202501入账'!$A:$F,6,0)</f>
        <v>KA销售组</v>
      </c>
      <c r="H3" s="2" t="s">
        <v>1</v>
      </c>
      <c r="I3" s="6">
        <v>45652.3993055556</v>
      </c>
      <c r="J3" s="3">
        <v>45652</v>
      </c>
      <c r="K3" s="3">
        <v>45653</v>
      </c>
      <c r="L3" s="2" t="s">
        <v>718</v>
      </c>
      <c r="M3" s="2" t="s">
        <v>719</v>
      </c>
      <c r="N3" s="2" t="s">
        <v>720</v>
      </c>
      <c r="O3" s="2" t="s">
        <v>721</v>
      </c>
      <c r="P3" s="5">
        <v>0</v>
      </c>
      <c r="Q3" s="5">
        <v>194</v>
      </c>
      <c r="R3" s="2">
        <v>1</v>
      </c>
      <c r="S3" s="2" t="s">
        <v>722</v>
      </c>
      <c r="T3" s="2">
        <v>1</v>
      </c>
      <c r="U3" s="5">
        <v>194</v>
      </c>
      <c r="V3" s="5">
        <v>0</v>
      </c>
      <c r="W3" s="2" t="s">
        <v>1</v>
      </c>
      <c r="X3" s="2" t="s">
        <v>723</v>
      </c>
      <c r="Y3" s="2" t="s">
        <v>724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725</v>
      </c>
      <c r="AG3" s="2" t="s">
        <v>101</v>
      </c>
      <c r="AH3" s="5">
        <v>0</v>
      </c>
      <c r="AI3" s="5">
        <v>194</v>
      </c>
      <c r="AJ3" s="5">
        <v>0</v>
      </c>
    </row>
    <row r="4" ht="17.5" customHeight="1" spans="1:36">
      <c r="A4" s="2" t="s">
        <v>728</v>
      </c>
      <c r="B4" s="2" t="s">
        <v>727</v>
      </c>
      <c r="C4" s="2" t="s">
        <v>729</v>
      </c>
      <c r="D4" s="2" t="s">
        <v>730</v>
      </c>
      <c r="E4" s="2" t="s">
        <v>730</v>
      </c>
      <c r="F4" s="9" t="str">
        <f>VLOOKUP(E4,'[1]202501入账'!$A:$F,5,0)</f>
        <v>KA销售中心</v>
      </c>
      <c r="G4" s="9" t="str">
        <f>VLOOKUP(E4,'[1]202501入账'!$A:$F,6,0)</f>
        <v>KA销售组</v>
      </c>
      <c r="H4" s="2" t="s">
        <v>1</v>
      </c>
      <c r="I4" s="6">
        <v>45652.4701388889</v>
      </c>
      <c r="J4" s="3">
        <v>45652</v>
      </c>
      <c r="K4" s="3">
        <v>45653</v>
      </c>
      <c r="L4" s="2" t="s">
        <v>731</v>
      </c>
      <c r="M4" s="2" t="s">
        <v>732</v>
      </c>
      <c r="N4" s="2" t="s">
        <v>733</v>
      </c>
      <c r="O4" s="2" t="s">
        <v>734</v>
      </c>
      <c r="P4" s="5">
        <v>0</v>
      </c>
      <c r="Q4" s="5">
        <v>264</v>
      </c>
      <c r="R4" s="2">
        <v>1</v>
      </c>
      <c r="S4" s="2" t="s">
        <v>722</v>
      </c>
      <c r="T4" s="2">
        <v>1</v>
      </c>
      <c r="U4" s="5">
        <v>264</v>
      </c>
      <c r="V4" s="5">
        <v>0</v>
      </c>
      <c r="W4" s="2" t="s">
        <v>1</v>
      </c>
      <c r="X4" s="2" t="s">
        <v>723</v>
      </c>
      <c r="Y4" s="2" t="s">
        <v>724</v>
      </c>
      <c r="Z4" s="2" t="s">
        <v>1</v>
      </c>
      <c r="AA4" s="2" t="s">
        <v>1</v>
      </c>
      <c r="AB4" s="2" t="s">
        <v>1</v>
      </c>
      <c r="AC4" s="2" t="s">
        <v>1</v>
      </c>
      <c r="AD4" s="2" t="s">
        <v>1</v>
      </c>
      <c r="AE4" s="2" t="s">
        <v>1</v>
      </c>
      <c r="AF4" s="2" t="s">
        <v>735</v>
      </c>
      <c r="AG4" s="2" t="s">
        <v>101</v>
      </c>
      <c r="AH4" s="5">
        <v>0</v>
      </c>
      <c r="AI4" s="5">
        <v>264</v>
      </c>
      <c r="AJ4" s="5">
        <v>0</v>
      </c>
    </row>
    <row r="5" ht="17.5" customHeight="1" spans="1:36">
      <c r="A5" s="2" t="s">
        <v>736</v>
      </c>
      <c r="B5" s="2" t="s">
        <v>727</v>
      </c>
      <c r="C5" s="2" t="s">
        <v>296</v>
      </c>
      <c r="D5" s="2" t="s">
        <v>297</v>
      </c>
      <c r="E5" s="2" t="s">
        <v>175</v>
      </c>
      <c r="F5" s="9" t="str">
        <f>VLOOKUP(E5,'[1]202501入账'!$A:$F,5,0)</f>
        <v>中心负责人</v>
      </c>
      <c r="G5" s="9" t="str">
        <f>VLOOKUP(E5,'[1]202501入账'!$A:$F,6,0)</f>
        <v/>
      </c>
      <c r="H5" s="2" t="s">
        <v>1</v>
      </c>
      <c r="I5" s="6">
        <v>45652.9333333333</v>
      </c>
      <c r="J5" s="3">
        <v>45653</v>
      </c>
      <c r="K5" s="3">
        <v>45654</v>
      </c>
      <c r="L5" s="2" t="s">
        <v>737</v>
      </c>
      <c r="M5" s="2" t="s">
        <v>738</v>
      </c>
      <c r="N5" s="2" t="s">
        <v>739</v>
      </c>
      <c r="O5" s="2" t="s">
        <v>740</v>
      </c>
      <c r="P5" s="5">
        <v>0</v>
      </c>
      <c r="Q5" s="5">
        <v>614</v>
      </c>
      <c r="R5" s="2">
        <v>1</v>
      </c>
      <c r="S5" s="2" t="s">
        <v>741</v>
      </c>
      <c r="T5" s="2">
        <v>1</v>
      </c>
      <c r="U5" s="5">
        <v>614</v>
      </c>
      <c r="V5" s="5">
        <v>0</v>
      </c>
      <c r="W5" s="2" t="s">
        <v>1</v>
      </c>
      <c r="X5" s="2" t="s">
        <v>723</v>
      </c>
      <c r="Y5" s="2" t="s">
        <v>724</v>
      </c>
      <c r="Z5" s="2" t="s">
        <v>1</v>
      </c>
      <c r="AA5" s="2" t="s">
        <v>1</v>
      </c>
      <c r="AB5" s="2" t="s">
        <v>1</v>
      </c>
      <c r="AC5" s="2" t="s">
        <v>1</v>
      </c>
      <c r="AD5" s="2" t="s">
        <v>1</v>
      </c>
      <c r="AE5" s="2" t="s">
        <v>1</v>
      </c>
      <c r="AF5" s="2" t="s">
        <v>1</v>
      </c>
      <c r="AG5" s="2" t="s">
        <v>101</v>
      </c>
      <c r="AH5" s="5">
        <v>0</v>
      </c>
      <c r="AI5" s="5">
        <v>614</v>
      </c>
      <c r="AJ5" s="5">
        <v>0</v>
      </c>
    </row>
    <row r="6" ht="17.5" customHeight="1" spans="1:36">
      <c r="A6" s="2" t="s">
        <v>742</v>
      </c>
      <c r="B6" s="2" t="s">
        <v>727</v>
      </c>
      <c r="C6" s="2" t="s">
        <v>716</v>
      </c>
      <c r="D6" s="2" t="s">
        <v>717</v>
      </c>
      <c r="E6" s="2" t="s">
        <v>717</v>
      </c>
      <c r="F6" s="9" t="str">
        <f>VLOOKUP(E6,'[1]202501入账'!$A:$F,5,0)</f>
        <v>KA销售中心</v>
      </c>
      <c r="G6" s="9" t="str">
        <f>VLOOKUP(E6,'[1]202501入账'!$A:$F,6,0)</f>
        <v>KA销售组</v>
      </c>
      <c r="H6" s="2" t="s">
        <v>1</v>
      </c>
      <c r="I6" s="6">
        <v>45653.4305555556</v>
      </c>
      <c r="J6" s="3">
        <v>45653</v>
      </c>
      <c r="K6" s="3">
        <v>45654</v>
      </c>
      <c r="L6" s="2" t="s">
        <v>718</v>
      </c>
      <c r="M6" s="2" t="s">
        <v>719</v>
      </c>
      <c r="N6" s="2" t="s">
        <v>720</v>
      </c>
      <c r="O6" s="2" t="s">
        <v>743</v>
      </c>
      <c r="P6" s="5">
        <v>0</v>
      </c>
      <c r="Q6" s="5">
        <v>178</v>
      </c>
      <c r="R6" s="2">
        <v>1</v>
      </c>
      <c r="S6" s="2" t="s">
        <v>722</v>
      </c>
      <c r="T6" s="2">
        <v>1</v>
      </c>
      <c r="U6" s="5">
        <v>178</v>
      </c>
      <c r="V6" s="5">
        <v>0</v>
      </c>
      <c r="W6" s="2" t="s">
        <v>1</v>
      </c>
      <c r="X6" s="2" t="s">
        <v>723</v>
      </c>
      <c r="Y6" s="2" t="s">
        <v>724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 t="s">
        <v>1</v>
      </c>
      <c r="AF6" s="2" t="s">
        <v>744</v>
      </c>
      <c r="AG6" s="2" t="s">
        <v>101</v>
      </c>
      <c r="AH6" s="5">
        <v>0</v>
      </c>
      <c r="AI6" s="5">
        <v>178</v>
      </c>
      <c r="AJ6" s="5">
        <v>0</v>
      </c>
    </row>
    <row r="7" ht="17.5" customHeight="1" spans="1:36">
      <c r="A7" s="2" t="s">
        <v>745</v>
      </c>
      <c r="B7" s="2" t="s">
        <v>727</v>
      </c>
      <c r="C7" s="2" t="s">
        <v>243</v>
      </c>
      <c r="D7" s="2" t="s">
        <v>244</v>
      </c>
      <c r="E7" s="2" t="s">
        <v>244</v>
      </c>
      <c r="F7" s="9" t="str">
        <f>VLOOKUP(E7,'[1]202501入账'!$A:$F,5,0)</f>
        <v>KA销售中心</v>
      </c>
      <c r="G7" s="9" t="str">
        <f>VLOOKUP(E7,'[1]202501入账'!$A:$F,6,0)</f>
        <v>渠道合作组-西南区</v>
      </c>
      <c r="H7" s="2" t="s">
        <v>1</v>
      </c>
      <c r="I7" s="6">
        <v>45655.7208333333</v>
      </c>
      <c r="J7" s="3">
        <v>45655</v>
      </c>
      <c r="K7" s="3">
        <v>45657</v>
      </c>
      <c r="L7" s="2" t="s">
        <v>746</v>
      </c>
      <c r="M7" s="2" t="s">
        <v>747</v>
      </c>
      <c r="N7" s="2" t="s">
        <v>748</v>
      </c>
      <c r="O7" s="2" t="s">
        <v>749</v>
      </c>
      <c r="P7" s="5">
        <v>0</v>
      </c>
      <c r="Q7" s="5">
        <v>243</v>
      </c>
      <c r="R7" s="2">
        <v>1</v>
      </c>
      <c r="S7" s="2" t="s">
        <v>741</v>
      </c>
      <c r="T7" s="2">
        <v>2</v>
      </c>
      <c r="U7" s="5">
        <v>486</v>
      </c>
      <c r="V7" s="5">
        <v>0</v>
      </c>
      <c r="W7" s="2" t="s">
        <v>1</v>
      </c>
      <c r="X7" s="2" t="s">
        <v>723</v>
      </c>
      <c r="Y7" s="2" t="s">
        <v>724</v>
      </c>
      <c r="Z7" s="2" t="s">
        <v>1</v>
      </c>
      <c r="AA7" s="2" t="s">
        <v>1</v>
      </c>
      <c r="AB7" s="2" t="s">
        <v>1</v>
      </c>
      <c r="AC7" s="2" t="s">
        <v>1</v>
      </c>
      <c r="AD7" s="2" t="s">
        <v>1</v>
      </c>
      <c r="AE7" s="2" t="s">
        <v>1</v>
      </c>
      <c r="AF7" s="2" t="s">
        <v>750</v>
      </c>
      <c r="AG7" s="2" t="s">
        <v>101</v>
      </c>
      <c r="AH7" s="5">
        <v>0</v>
      </c>
      <c r="AI7" s="5">
        <v>486</v>
      </c>
      <c r="AJ7" s="5">
        <v>0</v>
      </c>
    </row>
    <row r="8" ht="17.5" customHeight="1" spans="1:36">
      <c r="A8" s="2" t="s">
        <v>751</v>
      </c>
      <c r="B8" s="2" t="s">
        <v>727</v>
      </c>
      <c r="C8" s="2" t="s">
        <v>282</v>
      </c>
      <c r="D8" s="2" t="s">
        <v>283</v>
      </c>
      <c r="E8" s="2" t="s">
        <v>283</v>
      </c>
      <c r="F8" s="9" t="str">
        <f>VLOOKUP(E8,'[1]202501入账'!$A:$F,5,0)</f>
        <v>KA销售中心</v>
      </c>
      <c r="G8" s="9" t="str">
        <f>VLOOKUP(E8,'[1]202501入账'!$A:$F,6,0)</f>
        <v>渠道合作组-华北区</v>
      </c>
      <c r="H8" s="2" t="s">
        <v>1</v>
      </c>
      <c r="I8" s="6">
        <v>45656.5666666667</v>
      </c>
      <c r="J8" s="3">
        <v>45656</v>
      </c>
      <c r="K8" s="3">
        <v>45657</v>
      </c>
      <c r="L8" s="2" t="s">
        <v>752</v>
      </c>
      <c r="M8" s="2" t="s">
        <v>753</v>
      </c>
      <c r="N8" s="2" t="s">
        <v>754</v>
      </c>
      <c r="O8" s="2" t="s">
        <v>755</v>
      </c>
      <c r="P8" s="5">
        <v>0</v>
      </c>
      <c r="Q8" s="5">
        <v>246</v>
      </c>
      <c r="R8" s="2">
        <v>1</v>
      </c>
      <c r="S8" s="2" t="s">
        <v>741</v>
      </c>
      <c r="T8" s="2">
        <v>1</v>
      </c>
      <c r="U8" s="5">
        <v>246</v>
      </c>
      <c r="V8" s="5">
        <v>0</v>
      </c>
      <c r="W8" s="2" t="s">
        <v>1</v>
      </c>
      <c r="X8" s="2" t="s">
        <v>723</v>
      </c>
      <c r="Y8" s="2" t="s">
        <v>724</v>
      </c>
      <c r="Z8" s="2" t="s">
        <v>1</v>
      </c>
      <c r="AA8" s="2" t="s">
        <v>1</v>
      </c>
      <c r="AB8" s="2" t="s">
        <v>1</v>
      </c>
      <c r="AC8" s="2" t="s">
        <v>1</v>
      </c>
      <c r="AD8" s="2" t="s">
        <v>1</v>
      </c>
      <c r="AE8" s="2" t="s">
        <v>1</v>
      </c>
      <c r="AF8" s="2" t="s">
        <v>756</v>
      </c>
      <c r="AG8" s="2" t="s">
        <v>101</v>
      </c>
      <c r="AH8" s="5">
        <v>0</v>
      </c>
      <c r="AI8" s="5">
        <v>246</v>
      </c>
      <c r="AJ8" s="5">
        <v>0</v>
      </c>
    </row>
    <row r="9" ht="17.5" customHeight="1" spans="1:36">
      <c r="A9" s="2" t="s">
        <v>757</v>
      </c>
      <c r="B9" s="2" t="s">
        <v>727</v>
      </c>
      <c r="C9" s="2" t="s">
        <v>243</v>
      </c>
      <c r="D9" s="2" t="s">
        <v>244</v>
      </c>
      <c r="E9" s="2" t="s">
        <v>244</v>
      </c>
      <c r="F9" s="9" t="str">
        <f>VLOOKUP(E9,'[1]202501入账'!$A:$F,5,0)</f>
        <v>KA销售中心</v>
      </c>
      <c r="G9" s="9" t="str">
        <f>VLOOKUP(E9,'[1]202501入账'!$A:$F,6,0)</f>
        <v>渠道合作组-西南区</v>
      </c>
      <c r="H9" s="2" t="s">
        <v>1</v>
      </c>
      <c r="I9" s="6">
        <v>45657.4666666667</v>
      </c>
      <c r="J9" s="3">
        <v>45657</v>
      </c>
      <c r="K9" s="3">
        <v>45658</v>
      </c>
      <c r="L9" s="2" t="s">
        <v>746</v>
      </c>
      <c r="M9" s="2" t="s">
        <v>747</v>
      </c>
      <c r="N9" s="2" t="s">
        <v>748</v>
      </c>
      <c r="O9" s="2" t="s">
        <v>758</v>
      </c>
      <c r="P9" s="5">
        <v>0</v>
      </c>
      <c r="Q9" s="5">
        <v>264</v>
      </c>
      <c r="R9" s="2">
        <v>1</v>
      </c>
      <c r="S9" s="2" t="s">
        <v>741</v>
      </c>
      <c r="T9" s="2">
        <v>1</v>
      </c>
      <c r="U9" s="5">
        <v>264</v>
      </c>
      <c r="V9" s="5">
        <v>0</v>
      </c>
      <c r="W9" s="2" t="s">
        <v>1</v>
      </c>
      <c r="X9" s="2" t="s">
        <v>723</v>
      </c>
      <c r="Y9" s="2" t="s">
        <v>724</v>
      </c>
      <c r="Z9" s="2" t="s">
        <v>1</v>
      </c>
      <c r="AA9" s="2" t="s">
        <v>1</v>
      </c>
      <c r="AB9" s="2" t="s">
        <v>1</v>
      </c>
      <c r="AC9" s="2" t="s">
        <v>1</v>
      </c>
      <c r="AD9" s="2" t="s">
        <v>1</v>
      </c>
      <c r="AE9" s="2" t="s">
        <v>1</v>
      </c>
      <c r="AF9" s="2" t="s">
        <v>759</v>
      </c>
      <c r="AG9" s="2" t="s">
        <v>101</v>
      </c>
      <c r="AH9" s="5">
        <v>0</v>
      </c>
      <c r="AI9" s="5">
        <v>264</v>
      </c>
      <c r="AJ9" s="5">
        <v>0</v>
      </c>
    </row>
    <row r="10" ht="17.5" customHeight="1" spans="1:36">
      <c r="A10" s="2" t="s">
        <v>760</v>
      </c>
      <c r="B10" s="2" t="s">
        <v>727</v>
      </c>
      <c r="C10" s="2" t="s">
        <v>243</v>
      </c>
      <c r="D10" s="2" t="s">
        <v>244</v>
      </c>
      <c r="E10" s="2" t="s">
        <v>244</v>
      </c>
      <c r="F10" s="9" t="str">
        <f>VLOOKUP(E10,'[1]202501入账'!$A:$F,5,0)</f>
        <v>KA销售中心</v>
      </c>
      <c r="G10" s="9" t="str">
        <f>VLOOKUP(E10,'[1]202501入账'!$A:$F,6,0)</f>
        <v>渠道合作组-西南区</v>
      </c>
      <c r="H10" s="2" t="s">
        <v>1</v>
      </c>
      <c r="I10" s="6">
        <v>45658.5222222222</v>
      </c>
      <c r="J10" s="3">
        <v>45658</v>
      </c>
      <c r="K10" s="3">
        <v>45659</v>
      </c>
      <c r="L10" s="2" t="s">
        <v>746</v>
      </c>
      <c r="M10" s="2" t="s">
        <v>747</v>
      </c>
      <c r="N10" s="2" t="s">
        <v>748</v>
      </c>
      <c r="O10" s="2" t="s">
        <v>758</v>
      </c>
      <c r="P10" s="5">
        <v>0</v>
      </c>
      <c r="Q10" s="5">
        <v>264</v>
      </c>
      <c r="R10" s="2">
        <v>1</v>
      </c>
      <c r="S10" s="2" t="s">
        <v>741</v>
      </c>
      <c r="T10" s="2">
        <v>1</v>
      </c>
      <c r="U10" s="5">
        <v>264</v>
      </c>
      <c r="V10" s="5">
        <v>0</v>
      </c>
      <c r="W10" s="2" t="s">
        <v>1</v>
      </c>
      <c r="X10" s="2" t="s">
        <v>723</v>
      </c>
      <c r="Y10" s="2" t="s">
        <v>724</v>
      </c>
      <c r="Z10" s="2" t="s">
        <v>1</v>
      </c>
      <c r="AA10" s="2" t="s">
        <v>1</v>
      </c>
      <c r="AB10" s="2" t="s">
        <v>1</v>
      </c>
      <c r="AC10" s="2" t="s">
        <v>1</v>
      </c>
      <c r="AD10" s="2" t="s">
        <v>1</v>
      </c>
      <c r="AE10" s="2" t="s">
        <v>1</v>
      </c>
      <c r="AF10" s="2" t="s">
        <v>761</v>
      </c>
      <c r="AG10" s="2" t="s">
        <v>101</v>
      </c>
      <c r="AH10" s="5">
        <v>0</v>
      </c>
      <c r="AI10" s="5">
        <v>264</v>
      </c>
      <c r="AJ10" s="5">
        <v>0</v>
      </c>
    </row>
    <row r="11" ht="17.5" customHeight="1" spans="1:36">
      <c r="A11" s="2" t="s">
        <v>762</v>
      </c>
      <c r="B11" s="2" t="s">
        <v>727</v>
      </c>
      <c r="C11" s="2" t="s">
        <v>282</v>
      </c>
      <c r="D11" s="2" t="s">
        <v>283</v>
      </c>
      <c r="E11" s="2" t="s">
        <v>283</v>
      </c>
      <c r="F11" s="9" t="str">
        <f>VLOOKUP(E11,'[1]202501入账'!$A:$F,5,0)</f>
        <v>KA销售中心</v>
      </c>
      <c r="G11" s="9" t="str">
        <f>VLOOKUP(E11,'[1]202501入账'!$A:$F,6,0)</f>
        <v>渠道合作组-华北区</v>
      </c>
      <c r="H11" s="2" t="s">
        <v>1</v>
      </c>
      <c r="I11" s="6">
        <v>45659.9715277778</v>
      </c>
      <c r="J11" s="3">
        <v>45659</v>
      </c>
      <c r="K11" s="3">
        <v>45660</v>
      </c>
      <c r="L11" s="2" t="s">
        <v>763</v>
      </c>
      <c r="M11" s="2" t="s">
        <v>764</v>
      </c>
      <c r="N11" s="2" t="s">
        <v>765</v>
      </c>
      <c r="O11" s="2" t="s">
        <v>766</v>
      </c>
      <c r="P11" s="5">
        <v>0</v>
      </c>
      <c r="Q11" s="5">
        <v>237</v>
      </c>
      <c r="R11" s="2">
        <v>1</v>
      </c>
      <c r="S11" s="2" t="s">
        <v>741</v>
      </c>
      <c r="T11" s="2">
        <v>1</v>
      </c>
      <c r="U11" s="5">
        <v>237</v>
      </c>
      <c r="V11" s="5">
        <v>0</v>
      </c>
      <c r="W11" s="2" t="s">
        <v>1</v>
      </c>
      <c r="X11" s="2" t="s">
        <v>723</v>
      </c>
      <c r="Y11" s="2" t="s">
        <v>724</v>
      </c>
      <c r="Z11" s="2" t="s">
        <v>1</v>
      </c>
      <c r="AA11" s="2" t="s">
        <v>1</v>
      </c>
      <c r="AB11" s="2" t="s">
        <v>1</v>
      </c>
      <c r="AC11" s="2" t="s">
        <v>1</v>
      </c>
      <c r="AD11" s="2" t="s">
        <v>1</v>
      </c>
      <c r="AE11" s="2" t="s">
        <v>1</v>
      </c>
      <c r="AF11" s="2" t="s">
        <v>767</v>
      </c>
      <c r="AG11" s="2" t="s">
        <v>101</v>
      </c>
      <c r="AH11" s="5">
        <v>0</v>
      </c>
      <c r="AI11" s="5">
        <v>237</v>
      </c>
      <c r="AJ11" s="5">
        <v>0</v>
      </c>
    </row>
    <row r="12" ht="17.5" customHeight="1" spans="1:36">
      <c r="A12" s="2" t="s">
        <v>768</v>
      </c>
      <c r="B12" s="2" t="s">
        <v>727</v>
      </c>
      <c r="C12" s="2" t="s">
        <v>282</v>
      </c>
      <c r="D12" s="2" t="s">
        <v>283</v>
      </c>
      <c r="E12" s="2" t="s">
        <v>283</v>
      </c>
      <c r="F12" s="9" t="str">
        <f>VLOOKUP(E12,'[1]202501入账'!$A:$F,5,0)</f>
        <v>KA销售中心</v>
      </c>
      <c r="G12" s="9" t="str">
        <f>VLOOKUP(E12,'[1]202501入账'!$A:$F,6,0)</f>
        <v>渠道合作组-华北区</v>
      </c>
      <c r="H12" s="2" t="s">
        <v>1</v>
      </c>
      <c r="I12" s="6">
        <v>45660.4958333333</v>
      </c>
      <c r="J12" s="3">
        <v>45660</v>
      </c>
      <c r="K12" s="3">
        <v>45661</v>
      </c>
      <c r="L12" s="2" t="s">
        <v>763</v>
      </c>
      <c r="M12" s="2" t="s">
        <v>764</v>
      </c>
      <c r="N12" s="2" t="s">
        <v>765</v>
      </c>
      <c r="O12" s="2" t="s">
        <v>766</v>
      </c>
      <c r="P12" s="5">
        <v>0</v>
      </c>
      <c r="Q12" s="5">
        <v>237</v>
      </c>
      <c r="R12" s="2">
        <v>1</v>
      </c>
      <c r="S12" s="2" t="s">
        <v>741</v>
      </c>
      <c r="T12" s="2">
        <v>1</v>
      </c>
      <c r="U12" s="5">
        <v>237</v>
      </c>
      <c r="V12" s="5">
        <v>0</v>
      </c>
      <c r="W12" s="2" t="s">
        <v>1</v>
      </c>
      <c r="X12" s="2" t="s">
        <v>723</v>
      </c>
      <c r="Y12" s="2" t="s">
        <v>724</v>
      </c>
      <c r="Z12" s="2" t="s">
        <v>1</v>
      </c>
      <c r="AA12" s="2" t="s">
        <v>1</v>
      </c>
      <c r="AB12" s="2" t="s">
        <v>1</v>
      </c>
      <c r="AC12" s="2" t="s">
        <v>1</v>
      </c>
      <c r="AD12" s="2" t="s">
        <v>1</v>
      </c>
      <c r="AE12" s="2" t="s">
        <v>1</v>
      </c>
      <c r="AF12" s="2" t="s">
        <v>767</v>
      </c>
      <c r="AG12" s="2" t="s">
        <v>101</v>
      </c>
      <c r="AH12" s="5">
        <v>0</v>
      </c>
      <c r="AI12" s="5">
        <v>237</v>
      </c>
      <c r="AJ12" s="5">
        <v>0</v>
      </c>
    </row>
    <row r="13" ht="17.5" customHeight="1" spans="1:36">
      <c r="A13" s="2" t="s">
        <v>769</v>
      </c>
      <c r="B13" s="2" t="s">
        <v>727</v>
      </c>
      <c r="C13" s="2" t="s">
        <v>148</v>
      </c>
      <c r="D13" s="2" t="s">
        <v>149</v>
      </c>
      <c r="E13" s="2" t="s">
        <v>100</v>
      </c>
      <c r="F13" s="9" t="str">
        <f>VLOOKUP(E13,'[1]202501入账'!$A:$F,5,0)</f>
        <v>中心负责人</v>
      </c>
      <c r="G13" s="9" t="str">
        <f>VLOOKUP(E13,'[1]202501入账'!$A:$F,6,0)</f>
        <v/>
      </c>
      <c r="H13" s="2" t="s">
        <v>1</v>
      </c>
      <c r="I13" s="6">
        <v>45663.4763888889</v>
      </c>
      <c r="J13" s="3">
        <v>45663</v>
      </c>
      <c r="K13" s="3">
        <v>45664</v>
      </c>
      <c r="L13" s="2" t="s">
        <v>770</v>
      </c>
      <c r="M13" s="2" t="s">
        <v>771</v>
      </c>
      <c r="N13" s="2" t="s">
        <v>772</v>
      </c>
      <c r="O13" s="2" t="s">
        <v>758</v>
      </c>
      <c r="P13" s="5">
        <v>0</v>
      </c>
      <c r="Q13" s="5">
        <v>500</v>
      </c>
      <c r="R13" s="2">
        <v>1</v>
      </c>
      <c r="S13" s="2" t="s">
        <v>741</v>
      </c>
      <c r="T13" s="2">
        <v>1</v>
      </c>
      <c r="U13" s="5">
        <v>500</v>
      </c>
      <c r="V13" s="5">
        <v>0</v>
      </c>
      <c r="W13" s="2" t="s">
        <v>1</v>
      </c>
      <c r="X13" s="2" t="s">
        <v>723</v>
      </c>
      <c r="Y13" s="2" t="s">
        <v>724</v>
      </c>
      <c r="Z13" s="2" t="s">
        <v>1</v>
      </c>
      <c r="AA13" s="2" t="s">
        <v>1</v>
      </c>
      <c r="AB13" s="2" t="s">
        <v>1</v>
      </c>
      <c r="AC13" s="2" t="s">
        <v>1</v>
      </c>
      <c r="AD13" s="2" t="s">
        <v>1</v>
      </c>
      <c r="AE13" s="2" t="s">
        <v>1</v>
      </c>
      <c r="AF13" s="2" t="s">
        <v>1</v>
      </c>
      <c r="AG13" s="2" t="s">
        <v>101</v>
      </c>
      <c r="AH13" s="5">
        <v>0</v>
      </c>
      <c r="AI13" s="5">
        <v>500</v>
      </c>
      <c r="AJ13" s="5">
        <v>0</v>
      </c>
    </row>
    <row r="14" ht="17.5" customHeight="1" spans="1:36">
      <c r="A14" s="2" t="s">
        <v>773</v>
      </c>
      <c r="B14" s="2" t="s">
        <v>727</v>
      </c>
      <c r="C14" s="2" t="s">
        <v>774</v>
      </c>
      <c r="D14" s="2" t="s">
        <v>775</v>
      </c>
      <c r="E14" s="2" t="s">
        <v>775</v>
      </c>
      <c r="F14" s="9" t="str">
        <f>VLOOKUP(E14,'[1]202501入账'!$A:$F,5,0)</f>
        <v>KA销售中心</v>
      </c>
      <c r="G14" s="9" t="str">
        <f>VLOOKUP(E14,'[1]202501入账'!$A:$F,6,0)</f>
        <v>KA销售组</v>
      </c>
      <c r="H14" s="2" t="s">
        <v>1</v>
      </c>
      <c r="I14" s="6">
        <v>45663.5708333333</v>
      </c>
      <c r="J14" s="3">
        <v>45663</v>
      </c>
      <c r="K14" s="3">
        <v>45664</v>
      </c>
      <c r="L14" s="2" t="s">
        <v>776</v>
      </c>
      <c r="M14" s="2" t="s">
        <v>777</v>
      </c>
      <c r="N14" s="2" t="s">
        <v>778</v>
      </c>
      <c r="O14" s="2" t="s">
        <v>779</v>
      </c>
      <c r="P14" s="5">
        <v>0</v>
      </c>
      <c r="Q14" s="5">
        <v>263</v>
      </c>
      <c r="R14" s="2">
        <v>1</v>
      </c>
      <c r="S14" s="2" t="s">
        <v>780</v>
      </c>
      <c r="T14" s="2">
        <v>1</v>
      </c>
      <c r="U14" s="5">
        <v>263</v>
      </c>
      <c r="V14" s="5">
        <v>0</v>
      </c>
      <c r="W14" s="2" t="s">
        <v>1</v>
      </c>
      <c r="X14" s="2" t="s">
        <v>723</v>
      </c>
      <c r="Y14" s="2" t="s">
        <v>724</v>
      </c>
      <c r="Z14" s="2" t="s">
        <v>1</v>
      </c>
      <c r="AA14" s="2" t="s">
        <v>1</v>
      </c>
      <c r="AB14" s="2" t="s">
        <v>1</v>
      </c>
      <c r="AC14" s="2" t="s">
        <v>1</v>
      </c>
      <c r="AD14" s="2" t="s">
        <v>1</v>
      </c>
      <c r="AE14" s="2" t="s">
        <v>1</v>
      </c>
      <c r="AF14" s="2" t="s">
        <v>781</v>
      </c>
      <c r="AG14" s="2" t="s">
        <v>101</v>
      </c>
      <c r="AH14" s="5">
        <v>0</v>
      </c>
      <c r="AI14" s="5">
        <v>263</v>
      </c>
      <c r="AJ14" s="5">
        <v>0</v>
      </c>
    </row>
    <row r="15" ht="17.5" customHeight="1" spans="1:36">
      <c r="A15" s="2" t="s">
        <v>782</v>
      </c>
      <c r="B15" s="2" t="s">
        <v>727</v>
      </c>
      <c r="C15" s="2" t="s">
        <v>526</v>
      </c>
      <c r="D15" s="2" t="s">
        <v>527</v>
      </c>
      <c r="E15" s="2" t="s">
        <v>527</v>
      </c>
      <c r="F15" s="9" t="str">
        <f>VLOOKUP(E15,'[1]202501入账'!$A:$F,5,0)</f>
        <v>KA销售中心</v>
      </c>
      <c r="G15" s="9" t="str">
        <f>VLOOKUP(E15,'[1]202501入账'!$A:$F,6,0)</f>
        <v>渠道合作组-华南区</v>
      </c>
      <c r="H15" s="2" t="s">
        <v>1</v>
      </c>
      <c r="I15" s="6">
        <v>45663.6465277778</v>
      </c>
      <c r="J15" s="3">
        <v>45663</v>
      </c>
      <c r="K15" s="3">
        <v>45665</v>
      </c>
      <c r="L15" s="2" t="s">
        <v>783</v>
      </c>
      <c r="M15" s="2" t="s">
        <v>784</v>
      </c>
      <c r="N15" s="2" t="s">
        <v>785</v>
      </c>
      <c r="O15" s="2" t="s">
        <v>786</v>
      </c>
      <c r="P15" s="5">
        <v>0</v>
      </c>
      <c r="Q15" s="5">
        <v>269</v>
      </c>
      <c r="R15" s="2">
        <v>1</v>
      </c>
      <c r="S15" s="2" t="s">
        <v>741</v>
      </c>
      <c r="T15" s="2">
        <v>2</v>
      </c>
      <c r="U15" s="5">
        <v>538</v>
      </c>
      <c r="V15" s="5">
        <v>0</v>
      </c>
      <c r="W15" s="2" t="s">
        <v>1</v>
      </c>
      <c r="X15" s="2" t="s">
        <v>723</v>
      </c>
      <c r="Y15" s="2" t="s">
        <v>724</v>
      </c>
      <c r="Z15" s="2" t="s">
        <v>1</v>
      </c>
      <c r="AA15" s="2" t="s">
        <v>1</v>
      </c>
      <c r="AB15" s="2" t="s">
        <v>1</v>
      </c>
      <c r="AC15" s="2" t="s">
        <v>1</v>
      </c>
      <c r="AD15" s="2" t="s">
        <v>1</v>
      </c>
      <c r="AE15" s="2" t="s">
        <v>1</v>
      </c>
      <c r="AF15" s="2" t="s">
        <v>787</v>
      </c>
      <c r="AG15" s="2" t="s">
        <v>101</v>
      </c>
      <c r="AH15" s="5">
        <v>0</v>
      </c>
      <c r="AI15" s="5">
        <v>538</v>
      </c>
      <c r="AJ15" s="5">
        <v>0</v>
      </c>
    </row>
    <row r="16" ht="17.5" customHeight="1" spans="1:36">
      <c r="A16" s="2" t="s">
        <v>788</v>
      </c>
      <c r="B16" s="2" t="s">
        <v>727</v>
      </c>
      <c r="C16" s="2" t="s">
        <v>313</v>
      </c>
      <c r="D16" s="2" t="s">
        <v>314</v>
      </c>
      <c r="E16" s="2" t="s">
        <v>314</v>
      </c>
      <c r="F16" s="9" t="str">
        <f>VLOOKUP(E16,'[1]202501入账'!$A:$F,5,0)</f>
        <v>KA销售中心</v>
      </c>
      <c r="G16" s="9" t="str">
        <f>VLOOKUP(E16,'[1]202501入账'!$A:$F,6,0)</f>
        <v>KA销售组</v>
      </c>
      <c r="H16" s="2" t="s">
        <v>1</v>
      </c>
      <c r="I16" s="6">
        <v>45663.8673611111</v>
      </c>
      <c r="J16" s="3">
        <v>45663</v>
      </c>
      <c r="K16" s="3">
        <v>45664</v>
      </c>
      <c r="L16" s="2" t="s">
        <v>776</v>
      </c>
      <c r="M16" s="2" t="s">
        <v>777</v>
      </c>
      <c r="N16" s="2" t="s">
        <v>778</v>
      </c>
      <c r="O16" s="2" t="s">
        <v>779</v>
      </c>
      <c r="P16" s="5">
        <v>0</v>
      </c>
      <c r="Q16" s="5">
        <v>263</v>
      </c>
      <c r="R16" s="2">
        <v>1</v>
      </c>
      <c r="S16" s="2" t="s">
        <v>780</v>
      </c>
      <c r="T16" s="2">
        <v>1</v>
      </c>
      <c r="U16" s="5">
        <v>263</v>
      </c>
      <c r="V16" s="5">
        <v>0</v>
      </c>
      <c r="W16" s="2" t="s">
        <v>1</v>
      </c>
      <c r="X16" s="2" t="s">
        <v>723</v>
      </c>
      <c r="Y16" s="2" t="s">
        <v>724</v>
      </c>
      <c r="Z16" s="2" t="s">
        <v>1</v>
      </c>
      <c r="AA16" s="2" t="s">
        <v>1</v>
      </c>
      <c r="AB16" s="2" t="s">
        <v>1</v>
      </c>
      <c r="AC16" s="2" t="s">
        <v>1</v>
      </c>
      <c r="AD16" s="2" t="s">
        <v>1</v>
      </c>
      <c r="AE16" s="2" t="s">
        <v>1</v>
      </c>
      <c r="AF16" s="2" t="s">
        <v>789</v>
      </c>
      <c r="AG16" s="2" t="s">
        <v>101</v>
      </c>
      <c r="AH16" s="5">
        <v>0</v>
      </c>
      <c r="AI16" s="5">
        <v>263</v>
      </c>
      <c r="AJ16" s="5">
        <v>0</v>
      </c>
    </row>
    <row r="17" ht="17.5" customHeight="1" spans="1:36">
      <c r="A17" s="2" t="s">
        <v>790</v>
      </c>
      <c r="B17" s="2" t="s">
        <v>727</v>
      </c>
      <c r="C17" s="2" t="s">
        <v>352</v>
      </c>
      <c r="D17" s="2" t="s">
        <v>353</v>
      </c>
      <c r="E17" s="2" t="s">
        <v>353</v>
      </c>
      <c r="F17" s="9" t="str">
        <f>VLOOKUP(E17,'[1]202501入账'!$A:$F,5,0)</f>
        <v>KA销售中心</v>
      </c>
      <c r="G17" s="9" t="str">
        <f>VLOOKUP(E17,'[1]202501入账'!$A:$F,6,0)</f>
        <v>KA销售组</v>
      </c>
      <c r="H17" s="2" t="s">
        <v>1</v>
      </c>
      <c r="I17" s="6">
        <v>45664.5465277778</v>
      </c>
      <c r="J17" s="3">
        <v>45664</v>
      </c>
      <c r="K17" s="3">
        <v>45665</v>
      </c>
      <c r="L17" s="2" t="s">
        <v>776</v>
      </c>
      <c r="M17" s="2" t="s">
        <v>777</v>
      </c>
      <c r="N17" s="2" t="s">
        <v>778</v>
      </c>
      <c r="O17" s="2" t="s">
        <v>779</v>
      </c>
      <c r="P17" s="5">
        <v>0</v>
      </c>
      <c r="Q17" s="5">
        <v>272</v>
      </c>
      <c r="R17" s="2">
        <v>1</v>
      </c>
      <c r="S17" s="2" t="s">
        <v>780</v>
      </c>
      <c r="T17" s="2">
        <v>1</v>
      </c>
      <c r="U17" s="5">
        <v>272</v>
      </c>
      <c r="V17" s="5">
        <v>0</v>
      </c>
      <c r="W17" s="2" t="s">
        <v>1</v>
      </c>
      <c r="X17" s="2" t="s">
        <v>723</v>
      </c>
      <c r="Y17" s="2" t="s">
        <v>724</v>
      </c>
      <c r="Z17" s="2" t="s">
        <v>1</v>
      </c>
      <c r="AA17" s="2" t="s">
        <v>1</v>
      </c>
      <c r="AB17" s="2" t="s">
        <v>1</v>
      </c>
      <c r="AC17" s="2" t="s">
        <v>1</v>
      </c>
      <c r="AD17" s="2" t="s">
        <v>1</v>
      </c>
      <c r="AE17" s="2" t="s">
        <v>1</v>
      </c>
      <c r="AF17" s="2" t="s">
        <v>791</v>
      </c>
      <c r="AG17" s="2" t="s">
        <v>101</v>
      </c>
      <c r="AH17" s="5">
        <v>0</v>
      </c>
      <c r="AI17" s="5">
        <v>272</v>
      </c>
      <c r="AJ17" s="5">
        <v>0</v>
      </c>
    </row>
    <row r="18" ht="17.5" customHeight="1" spans="1:36">
      <c r="A18" s="2" t="s">
        <v>792</v>
      </c>
      <c r="B18" s="2" t="s">
        <v>727</v>
      </c>
      <c r="C18" s="2" t="s">
        <v>313</v>
      </c>
      <c r="D18" s="2" t="s">
        <v>314</v>
      </c>
      <c r="E18" s="2" t="s">
        <v>314</v>
      </c>
      <c r="F18" s="9" t="str">
        <f>VLOOKUP(E18,'[1]202501入账'!$A:$F,5,0)</f>
        <v>KA销售中心</v>
      </c>
      <c r="G18" s="9" t="str">
        <f>VLOOKUP(E18,'[1]202501入账'!$A:$F,6,0)</f>
        <v>KA销售组</v>
      </c>
      <c r="H18" s="2" t="s">
        <v>1</v>
      </c>
      <c r="I18" s="6">
        <v>45664.7902777778</v>
      </c>
      <c r="J18" s="3">
        <v>45664</v>
      </c>
      <c r="K18" s="3">
        <v>45665</v>
      </c>
      <c r="L18" s="2" t="s">
        <v>776</v>
      </c>
      <c r="M18" s="2" t="s">
        <v>777</v>
      </c>
      <c r="N18" s="2" t="s">
        <v>778</v>
      </c>
      <c r="O18" s="2" t="s">
        <v>779</v>
      </c>
      <c r="P18" s="5">
        <v>0</v>
      </c>
      <c r="Q18" s="5">
        <v>272</v>
      </c>
      <c r="R18" s="2">
        <v>1</v>
      </c>
      <c r="S18" s="2" t="s">
        <v>780</v>
      </c>
      <c r="T18" s="2">
        <v>1</v>
      </c>
      <c r="U18" s="5">
        <v>272</v>
      </c>
      <c r="V18" s="5">
        <v>0</v>
      </c>
      <c r="W18" s="2" t="s">
        <v>1</v>
      </c>
      <c r="X18" s="2" t="s">
        <v>723</v>
      </c>
      <c r="Y18" s="2" t="s">
        <v>724</v>
      </c>
      <c r="Z18" s="2" t="s">
        <v>1</v>
      </c>
      <c r="AA18" s="2" t="s">
        <v>1</v>
      </c>
      <c r="AB18" s="2" t="s">
        <v>1</v>
      </c>
      <c r="AC18" s="2" t="s">
        <v>1</v>
      </c>
      <c r="AD18" s="2" t="s">
        <v>1</v>
      </c>
      <c r="AE18" s="2" t="s">
        <v>1</v>
      </c>
      <c r="AF18" s="2" t="s">
        <v>789</v>
      </c>
      <c r="AG18" s="2" t="s">
        <v>101</v>
      </c>
      <c r="AH18" s="5">
        <v>0</v>
      </c>
      <c r="AI18" s="5">
        <v>272</v>
      </c>
      <c r="AJ18" s="5">
        <v>0</v>
      </c>
    </row>
    <row r="19" ht="17.5" customHeight="1" spans="1:36">
      <c r="A19" s="2" t="s">
        <v>793</v>
      </c>
      <c r="B19" s="2" t="s">
        <v>727</v>
      </c>
      <c r="C19" s="2" t="s">
        <v>313</v>
      </c>
      <c r="D19" s="2" t="s">
        <v>314</v>
      </c>
      <c r="E19" s="2" t="s">
        <v>314</v>
      </c>
      <c r="F19" s="9" t="str">
        <f>VLOOKUP(E19,'[1]202501入账'!$A:$F,5,0)</f>
        <v>KA销售中心</v>
      </c>
      <c r="G19" s="9" t="str">
        <f>VLOOKUP(E19,'[1]202501入账'!$A:$F,6,0)</f>
        <v>KA销售组</v>
      </c>
      <c r="H19" s="2" t="s">
        <v>1</v>
      </c>
      <c r="I19" s="6">
        <v>45665.6652777778</v>
      </c>
      <c r="J19" s="3">
        <v>45665</v>
      </c>
      <c r="K19" s="3">
        <v>45667</v>
      </c>
      <c r="L19" s="2" t="s">
        <v>776</v>
      </c>
      <c r="M19" s="2" t="s">
        <v>794</v>
      </c>
      <c r="N19" s="2" t="s">
        <v>795</v>
      </c>
      <c r="O19" s="2" t="s">
        <v>796</v>
      </c>
      <c r="P19" s="5">
        <v>0</v>
      </c>
      <c r="Q19" s="5">
        <v>233</v>
      </c>
      <c r="R19" s="2">
        <v>1</v>
      </c>
      <c r="S19" s="2" t="s">
        <v>741</v>
      </c>
      <c r="T19" s="2">
        <v>2</v>
      </c>
      <c r="U19" s="5">
        <v>466</v>
      </c>
      <c r="V19" s="5">
        <v>0</v>
      </c>
      <c r="W19" s="2" t="s">
        <v>1</v>
      </c>
      <c r="X19" s="2" t="s">
        <v>723</v>
      </c>
      <c r="Y19" s="2" t="s">
        <v>724</v>
      </c>
      <c r="Z19" s="2" t="s">
        <v>1</v>
      </c>
      <c r="AA19" s="2" t="s">
        <v>1</v>
      </c>
      <c r="AB19" s="2" t="s">
        <v>1</v>
      </c>
      <c r="AC19" s="2" t="s">
        <v>1</v>
      </c>
      <c r="AD19" s="2" t="s">
        <v>1</v>
      </c>
      <c r="AE19" s="2" t="s">
        <v>1</v>
      </c>
      <c r="AF19" s="2" t="s">
        <v>789</v>
      </c>
      <c r="AG19" s="2" t="s">
        <v>101</v>
      </c>
      <c r="AH19" s="5">
        <v>0</v>
      </c>
      <c r="AI19" s="5">
        <v>466</v>
      </c>
      <c r="AJ19" s="5">
        <v>0</v>
      </c>
    </row>
    <row r="20" ht="17.5" customHeight="1" spans="1:36">
      <c r="A20" s="2" t="s">
        <v>797</v>
      </c>
      <c r="B20" s="2" t="s">
        <v>727</v>
      </c>
      <c r="C20" s="2" t="s">
        <v>148</v>
      </c>
      <c r="D20" s="2" t="s">
        <v>149</v>
      </c>
      <c r="E20" s="2" t="s">
        <v>100</v>
      </c>
      <c r="F20" s="9" t="str">
        <f>VLOOKUP(E20,'[1]202501入账'!$A:$F,5,0)</f>
        <v>中心负责人</v>
      </c>
      <c r="G20" s="9" t="str">
        <f>VLOOKUP(E20,'[1]202501入账'!$A:$F,6,0)</f>
        <v/>
      </c>
      <c r="H20" s="2" t="s">
        <v>1</v>
      </c>
      <c r="I20" s="6">
        <v>45666.4118055556</v>
      </c>
      <c r="J20" s="3">
        <v>45666</v>
      </c>
      <c r="K20" s="3">
        <v>45674</v>
      </c>
      <c r="L20" s="2" t="s">
        <v>770</v>
      </c>
      <c r="M20" s="2" t="s">
        <v>771</v>
      </c>
      <c r="N20" s="2" t="s">
        <v>772</v>
      </c>
      <c r="O20" s="2" t="s">
        <v>758</v>
      </c>
      <c r="P20" s="5">
        <v>0</v>
      </c>
      <c r="Q20" s="5">
        <v>513.12</v>
      </c>
      <c r="R20" s="2">
        <v>1</v>
      </c>
      <c r="S20" s="2" t="s">
        <v>741</v>
      </c>
      <c r="T20" s="2">
        <v>8</v>
      </c>
      <c r="U20" s="5">
        <v>4105</v>
      </c>
      <c r="V20" s="5">
        <v>0</v>
      </c>
      <c r="W20" s="2" t="s">
        <v>1</v>
      </c>
      <c r="X20" s="2" t="s">
        <v>723</v>
      </c>
      <c r="Y20" s="2" t="s">
        <v>724</v>
      </c>
      <c r="Z20" s="2" t="s">
        <v>1</v>
      </c>
      <c r="AA20" s="2" t="s">
        <v>1</v>
      </c>
      <c r="AB20" s="2" t="s">
        <v>1</v>
      </c>
      <c r="AC20" s="2" t="s">
        <v>1</v>
      </c>
      <c r="AD20" s="2" t="s">
        <v>1</v>
      </c>
      <c r="AE20" s="2" t="s">
        <v>1</v>
      </c>
      <c r="AF20" s="2" t="s">
        <v>1</v>
      </c>
      <c r="AG20" s="2" t="s">
        <v>101</v>
      </c>
      <c r="AH20" s="5">
        <v>0</v>
      </c>
      <c r="AI20" s="5">
        <v>4105</v>
      </c>
      <c r="AJ20" s="5">
        <v>0</v>
      </c>
    </row>
    <row r="21" ht="17.5" customHeight="1" spans="1:36">
      <c r="A21" s="2" t="s">
        <v>798</v>
      </c>
      <c r="B21" s="2" t="s">
        <v>727</v>
      </c>
      <c r="C21" s="2" t="s">
        <v>282</v>
      </c>
      <c r="D21" s="2" t="s">
        <v>283</v>
      </c>
      <c r="E21" s="2" t="s">
        <v>283</v>
      </c>
      <c r="F21" s="9" t="str">
        <f>VLOOKUP(E21,'[1]202501入账'!$A:$F,5,0)</f>
        <v>KA销售中心</v>
      </c>
      <c r="G21" s="9" t="str">
        <f>VLOOKUP(E21,'[1]202501入账'!$A:$F,6,0)</f>
        <v>渠道合作组-华北区</v>
      </c>
      <c r="H21" s="2" t="s">
        <v>1</v>
      </c>
      <c r="I21" s="6">
        <v>45666.5965277778</v>
      </c>
      <c r="J21" s="3">
        <v>45666</v>
      </c>
      <c r="K21" s="3">
        <v>45667</v>
      </c>
      <c r="L21" s="2" t="s">
        <v>752</v>
      </c>
      <c r="M21" s="2" t="s">
        <v>753</v>
      </c>
      <c r="N21" s="2" t="s">
        <v>754</v>
      </c>
      <c r="O21" s="2" t="s">
        <v>755</v>
      </c>
      <c r="P21" s="5">
        <v>0</v>
      </c>
      <c r="Q21" s="5">
        <v>245</v>
      </c>
      <c r="R21" s="2">
        <v>1</v>
      </c>
      <c r="S21" s="2" t="s">
        <v>741</v>
      </c>
      <c r="T21" s="2">
        <v>1</v>
      </c>
      <c r="U21" s="5">
        <v>245</v>
      </c>
      <c r="V21" s="5">
        <v>0</v>
      </c>
      <c r="W21" s="2" t="s">
        <v>1</v>
      </c>
      <c r="X21" s="2" t="s">
        <v>723</v>
      </c>
      <c r="Y21" s="2" t="s">
        <v>724</v>
      </c>
      <c r="Z21" s="2" t="s">
        <v>1</v>
      </c>
      <c r="AA21" s="2" t="s">
        <v>1</v>
      </c>
      <c r="AB21" s="2" t="s">
        <v>1</v>
      </c>
      <c r="AC21" s="2" t="s">
        <v>1</v>
      </c>
      <c r="AD21" s="2" t="s">
        <v>1</v>
      </c>
      <c r="AE21" s="2" t="s">
        <v>1</v>
      </c>
      <c r="AF21" s="2" t="s">
        <v>799</v>
      </c>
      <c r="AG21" s="2" t="s">
        <v>101</v>
      </c>
      <c r="AH21" s="5">
        <v>0</v>
      </c>
      <c r="AI21" s="5">
        <v>245</v>
      </c>
      <c r="AJ21" s="5">
        <v>0</v>
      </c>
    </row>
    <row r="22" ht="17.5" customHeight="1" spans="1:36">
      <c r="A22" s="2" t="s">
        <v>800</v>
      </c>
      <c r="B22" s="2" t="s">
        <v>727</v>
      </c>
      <c r="C22" s="2" t="s">
        <v>282</v>
      </c>
      <c r="D22" s="2" t="s">
        <v>283</v>
      </c>
      <c r="E22" s="2" t="s">
        <v>283</v>
      </c>
      <c r="F22" s="9" t="str">
        <f>VLOOKUP(E22,'[1]202501入账'!$A:$F,5,0)</f>
        <v>KA销售中心</v>
      </c>
      <c r="G22" s="9" t="str">
        <f>VLOOKUP(E22,'[1]202501入账'!$A:$F,6,0)</f>
        <v>渠道合作组-华北区</v>
      </c>
      <c r="H22" s="2" t="s">
        <v>1</v>
      </c>
      <c r="I22" s="6">
        <v>45667.6576388889</v>
      </c>
      <c r="J22" s="3">
        <v>45667</v>
      </c>
      <c r="K22" s="3">
        <v>45668</v>
      </c>
      <c r="L22" s="2" t="s">
        <v>752</v>
      </c>
      <c r="M22" s="2" t="s">
        <v>753</v>
      </c>
      <c r="N22" s="2" t="s">
        <v>754</v>
      </c>
      <c r="O22" s="2" t="s">
        <v>755</v>
      </c>
      <c r="P22" s="5">
        <v>0</v>
      </c>
      <c r="Q22" s="5">
        <v>245</v>
      </c>
      <c r="R22" s="2">
        <v>1</v>
      </c>
      <c r="S22" s="2" t="s">
        <v>741</v>
      </c>
      <c r="T22" s="2">
        <v>1</v>
      </c>
      <c r="U22" s="5">
        <v>245</v>
      </c>
      <c r="V22" s="5">
        <v>0</v>
      </c>
      <c r="W22" s="2" t="s">
        <v>1</v>
      </c>
      <c r="X22" s="2" t="s">
        <v>723</v>
      </c>
      <c r="Y22" s="2" t="s">
        <v>724</v>
      </c>
      <c r="Z22" s="2" t="s">
        <v>1</v>
      </c>
      <c r="AA22" s="2" t="s">
        <v>1</v>
      </c>
      <c r="AB22" s="2" t="s">
        <v>1</v>
      </c>
      <c r="AC22" s="2" t="s">
        <v>1</v>
      </c>
      <c r="AD22" s="2" t="s">
        <v>1</v>
      </c>
      <c r="AE22" s="2" t="s">
        <v>1</v>
      </c>
      <c r="AF22" s="2" t="s">
        <v>799</v>
      </c>
      <c r="AG22" s="2" t="s">
        <v>101</v>
      </c>
      <c r="AH22" s="5">
        <v>0</v>
      </c>
      <c r="AI22" s="5">
        <v>245</v>
      </c>
      <c r="AJ22" s="5">
        <v>0</v>
      </c>
    </row>
    <row r="23" ht="17.5" customHeight="1" spans="1:36">
      <c r="A23" s="2" t="s">
        <v>801</v>
      </c>
      <c r="B23" s="2" t="s">
        <v>727</v>
      </c>
      <c r="C23" s="2" t="s">
        <v>366</v>
      </c>
      <c r="D23" s="2" t="s">
        <v>367</v>
      </c>
      <c r="E23" s="2" t="s">
        <v>367</v>
      </c>
      <c r="F23" s="9" t="str">
        <f>VLOOKUP(E23,'[1]202501入账'!$A:$F,5,0)</f>
        <v>生态运营中心</v>
      </c>
      <c r="G23" s="9" t="str">
        <f>VLOOKUP(E23,'[1]202501入账'!$A:$F,6,0)</f>
        <v>KA运营组</v>
      </c>
      <c r="H23" s="2" t="s">
        <v>1</v>
      </c>
      <c r="I23" s="6">
        <v>45668.0333333333</v>
      </c>
      <c r="J23" s="3">
        <v>45679</v>
      </c>
      <c r="K23" s="3">
        <v>45681</v>
      </c>
      <c r="L23" s="2" t="s">
        <v>737</v>
      </c>
      <c r="M23" s="2" t="s">
        <v>802</v>
      </c>
      <c r="N23" s="2" t="s">
        <v>803</v>
      </c>
      <c r="O23" s="2" t="s">
        <v>804</v>
      </c>
      <c r="P23" s="5">
        <v>0</v>
      </c>
      <c r="Q23" s="5">
        <v>538</v>
      </c>
      <c r="R23" s="2">
        <v>1</v>
      </c>
      <c r="S23" s="2" t="s">
        <v>780</v>
      </c>
      <c r="T23" s="2">
        <v>2</v>
      </c>
      <c r="U23" s="5">
        <v>800</v>
      </c>
      <c r="V23" s="5">
        <v>0</v>
      </c>
      <c r="W23" s="2" t="s">
        <v>1</v>
      </c>
      <c r="X23" s="2" t="s">
        <v>723</v>
      </c>
      <c r="Y23" s="2" t="s">
        <v>724</v>
      </c>
      <c r="Z23" s="2" t="s">
        <v>1</v>
      </c>
      <c r="AA23" s="2" t="s">
        <v>1</v>
      </c>
      <c r="AB23" s="2" t="s">
        <v>1</v>
      </c>
      <c r="AC23" s="2" t="s">
        <v>1</v>
      </c>
      <c r="AD23" s="2" t="s">
        <v>1</v>
      </c>
      <c r="AE23" s="2" t="s">
        <v>1</v>
      </c>
      <c r="AF23" s="2" t="s">
        <v>805</v>
      </c>
      <c r="AG23" s="2" t="s">
        <v>101</v>
      </c>
      <c r="AH23" s="5">
        <v>0</v>
      </c>
      <c r="AI23" s="5">
        <v>800</v>
      </c>
      <c r="AJ23" s="5">
        <v>0</v>
      </c>
    </row>
    <row r="24" ht="17.5" customHeight="1" spans="1:36">
      <c r="A24" s="2" t="s">
        <v>806</v>
      </c>
      <c r="B24" s="2" t="s">
        <v>727</v>
      </c>
      <c r="C24" s="2" t="s">
        <v>282</v>
      </c>
      <c r="D24" s="2" t="s">
        <v>283</v>
      </c>
      <c r="E24" s="2" t="s">
        <v>283</v>
      </c>
      <c r="F24" s="9" t="str">
        <f>VLOOKUP(E24,'[1]202501入账'!$A:$F,5,0)</f>
        <v>KA销售中心</v>
      </c>
      <c r="G24" s="9" t="str">
        <f>VLOOKUP(E24,'[1]202501入账'!$A:$F,6,0)</f>
        <v>渠道合作组-华北区</v>
      </c>
      <c r="H24" s="2" t="s">
        <v>1</v>
      </c>
      <c r="I24" s="6">
        <v>45668.575</v>
      </c>
      <c r="J24" s="3">
        <v>45668</v>
      </c>
      <c r="K24" s="3">
        <v>45669</v>
      </c>
      <c r="L24" s="2" t="s">
        <v>752</v>
      </c>
      <c r="M24" s="2" t="s">
        <v>753</v>
      </c>
      <c r="N24" s="2" t="s">
        <v>754</v>
      </c>
      <c r="O24" s="2" t="s">
        <v>755</v>
      </c>
      <c r="P24" s="5">
        <v>0</v>
      </c>
      <c r="Q24" s="5">
        <v>245</v>
      </c>
      <c r="R24" s="2">
        <v>1</v>
      </c>
      <c r="S24" s="2" t="s">
        <v>741</v>
      </c>
      <c r="T24" s="2">
        <v>1</v>
      </c>
      <c r="U24" s="5">
        <v>245</v>
      </c>
      <c r="V24" s="5">
        <v>0</v>
      </c>
      <c r="W24" s="2" t="s">
        <v>1</v>
      </c>
      <c r="X24" s="2" t="s">
        <v>723</v>
      </c>
      <c r="Y24" s="2" t="s">
        <v>724</v>
      </c>
      <c r="Z24" s="2" t="s">
        <v>1</v>
      </c>
      <c r="AA24" s="2" t="s">
        <v>1</v>
      </c>
      <c r="AB24" s="2" t="s">
        <v>1</v>
      </c>
      <c r="AC24" s="2" t="s">
        <v>1</v>
      </c>
      <c r="AD24" s="2" t="s">
        <v>1</v>
      </c>
      <c r="AE24" s="2" t="s">
        <v>1</v>
      </c>
      <c r="AF24" s="2" t="s">
        <v>807</v>
      </c>
      <c r="AG24" s="2" t="s">
        <v>101</v>
      </c>
      <c r="AH24" s="5">
        <v>0</v>
      </c>
      <c r="AI24" s="5">
        <v>245</v>
      </c>
      <c r="AJ24" s="5">
        <v>0</v>
      </c>
    </row>
    <row r="25" ht="17.5" customHeight="1" spans="1:36">
      <c r="A25" s="2" t="s">
        <v>808</v>
      </c>
      <c r="B25" s="2" t="s">
        <v>727</v>
      </c>
      <c r="C25" s="2" t="s">
        <v>282</v>
      </c>
      <c r="D25" s="2" t="s">
        <v>283</v>
      </c>
      <c r="E25" s="2" t="s">
        <v>283</v>
      </c>
      <c r="F25" s="9" t="str">
        <f>VLOOKUP(E25,'[1]202501入账'!$A:$F,5,0)</f>
        <v>KA销售中心</v>
      </c>
      <c r="G25" s="9" t="str">
        <f>VLOOKUP(E25,'[1]202501入账'!$A:$F,6,0)</f>
        <v>渠道合作组-华北区</v>
      </c>
      <c r="H25" s="2" t="s">
        <v>1</v>
      </c>
      <c r="I25" s="6">
        <v>45669.5833333333</v>
      </c>
      <c r="J25" s="3">
        <v>45669</v>
      </c>
      <c r="K25" s="3">
        <v>45670</v>
      </c>
      <c r="L25" s="2" t="s">
        <v>752</v>
      </c>
      <c r="M25" s="2" t="s">
        <v>753</v>
      </c>
      <c r="N25" s="2" t="s">
        <v>754</v>
      </c>
      <c r="O25" s="2" t="s">
        <v>755</v>
      </c>
      <c r="P25" s="5">
        <v>0</v>
      </c>
      <c r="Q25" s="5">
        <v>238</v>
      </c>
      <c r="R25" s="2">
        <v>1</v>
      </c>
      <c r="S25" s="2" t="s">
        <v>741</v>
      </c>
      <c r="T25" s="2">
        <v>1</v>
      </c>
      <c r="U25" s="5">
        <v>238</v>
      </c>
      <c r="V25" s="5">
        <v>0</v>
      </c>
      <c r="W25" s="2" t="s">
        <v>1</v>
      </c>
      <c r="X25" s="2" t="s">
        <v>723</v>
      </c>
      <c r="Y25" s="2" t="s">
        <v>724</v>
      </c>
      <c r="Z25" s="2" t="s">
        <v>1</v>
      </c>
      <c r="AA25" s="2" t="s">
        <v>1</v>
      </c>
      <c r="AB25" s="2" t="s">
        <v>1</v>
      </c>
      <c r="AC25" s="2" t="s">
        <v>1</v>
      </c>
      <c r="AD25" s="2" t="s">
        <v>1</v>
      </c>
      <c r="AE25" s="2" t="s">
        <v>1</v>
      </c>
      <c r="AF25" s="2" t="s">
        <v>807</v>
      </c>
      <c r="AG25" s="2" t="s">
        <v>101</v>
      </c>
      <c r="AH25" s="5">
        <v>0</v>
      </c>
      <c r="AI25" s="5">
        <v>238</v>
      </c>
      <c r="AJ25" s="5">
        <v>0</v>
      </c>
    </row>
    <row r="26" ht="17.5" customHeight="1" spans="1:36">
      <c r="A26" s="2" t="s">
        <v>809</v>
      </c>
      <c r="B26" s="2" t="s">
        <v>727</v>
      </c>
      <c r="C26" s="2" t="s">
        <v>296</v>
      </c>
      <c r="D26" s="2" t="s">
        <v>297</v>
      </c>
      <c r="E26" s="2" t="s">
        <v>175</v>
      </c>
      <c r="F26" s="9" t="str">
        <f>VLOOKUP(E26,'[1]202501入账'!$A:$F,5,0)</f>
        <v>中心负责人</v>
      </c>
      <c r="G26" s="9" t="str">
        <f>VLOOKUP(E26,'[1]202501入账'!$A:$F,6,0)</f>
        <v/>
      </c>
      <c r="H26" s="2" t="s">
        <v>1</v>
      </c>
      <c r="I26" s="6">
        <v>45669.6847222222</v>
      </c>
      <c r="J26" s="3">
        <v>45669</v>
      </c>
      <c r="K26" s="3">
        <v>45670</v>
      </c>
      <c r="L26" s="2" t="s">
        <v>737</v>
      </c>
      <c r="M26" s="2" t="s">
        <v>810</v>
      </c>
      <c r="N26" s="2" t="s">
        <v>811</v>
      </c>
      <c r="O26" s="2" t="s">
        <v>758</v>
      </c>
      <c r="P26" s="5">
        <v>0</v>
      </c>
      <c r="Q26" s="5">
        <v>578</v>
      </c>
      <c r="R26" s="2">
        <v>1</v>
      </c>
      <c r="S26" s="2" t="s">
        <v>741</v>
      </c>
      <c r="T26" s="2">
        <v>1</v>
      </c>
      <c r="U26" s="5">
        <v>578</v>
      </c>
      <c r="V26" s="5">
        <v>0</v>
      </c>
      <c r="W26" s="2" t="s">
        <v>1</v>
      </c>
      <c r="X26" s="2" t="s">
        <v>723</v>
      </c>
      <c r="Y26" s="2" t="s">
        <v>724</v>
      </c>
      <c r="Z26" s="2" t="s">
        <v>1</v>
      </c>
      <c r="AA26" s="2" t="s">
        <v>1</v>
      </c>
      <c r="AB26" s="2" t="s">
        <v>1</v>
      </c>
      <c r="AC26" s="2" t="s">
        <v>1</v>
      </c>
      <c r="AD26" s="2" t="s">
        <v>1</v>
      </c>
      <c r="AE26" s="2" t="s">
        <v>1</v>
      </c>
      <c r="AF26" s="2" t="s">
        <v>1</v>
      </c>
      <c r="AG26" s="2" t="s">
        <v>101</v>
      </c>
      <c r="AH26" s="5">
        <v>0</v>
      </c>
      <c r="AI26" s="5">
        <v>578</v>
      </c>
      <c r="AJ26" s="5">
        <v>0</v>
      </c>
    </row>
    <row r="27" ht="17.5" customHeight="1" spans="1:36">
      <c r="A27" s="2" t="s">
        <v>812</v>
      </c>
      <c r="B27" s="2" t="s">
        <v>727</v>
      </c>
      <c r="C27" s="2" t="s">
        <v>282</v>
      </c>
      <c r="D27" s="2" t="s">
        <v>283</v>
      </c>
      <c r="E27" s="2" t="s">
        <v>283</v>
      </c>
      <c r="F27" s="9" t="str">
        <f>VLOOKUP(E27,'[1]202501入账'!$A:$F,5,0)</f>
        <v>KA销售中心</v>
      </c>
      <c r="G27" s="9" t="str">
        <f>VLOOKUP(E27,'[1]202501入账'!$A:$F,6,0)</f>
        <v>渠道合作组-华北区</v>
      </c>
      <c r="H27" s="2" t="s">
        <v>1</v>
      </c>
      <c r="I27" s="6">
        <v>45670.5715277778</v>
      </c>
      <c r="J27" s="3">
        <v>45670</v>
      </c>
      <c r="K27" s="3">
        <v>45671</v>
      </c>
      <c r="L27" s="2" t="s">
        <v>752</v>
      </c>
      <c r="M27" s="2" t="s">
        <v>753</v>
      </c>
      <c r="N27" s="2" t="s">
        <v>754</v>
      </c>
      <c r="O27" s="2" t="s">
        <v>755</v>
      </c>
      <c r="P27" s="5">
        <v>0</v>
      </c>
      <c r="Q27" s="5">
        <v>238</v>
      </c>
      <c r="R27" s="2">
        <v>1</v>
      </c>
      <c r="S27" s="2" t="s">
        <v>741</v>
      </c>
      <c r="T27" s="2">
        <v>1</v>
      </c>
      <c r="U27" s="5">
        <v>238</v>
      </c>
      <c r="V27" s="5">
        <v>0</v>
      </c>
      <c r="W27" s="2" t="s">
        <v>1</v>
      </c>
      <c r="X27" s="2" t="s">
        <v>723</v>
      </c>
      <c r="Y27" s="2" t="s">
        <v>724</v>
      </c>
      <c r="Z27" s="2" t="s">
        <v>1</v>
      </c>
      <c r="AA27" s="2" t="s">
        <v>1</v>
      </c>
      <c r="AB27" s="2" t="s">
        <v>1</v>
      </c>
      <c r="AC27" s="2" t="s">
        <v>1</v>
      </c>
      <c r="AD27" s="2" t="s">
        <v>1</v>
      </c>
      <c r="AE27" s="2" t="s">
        <v>1</v>
      </c>
      <c r="AF27" s="2" t="s">
        <v>807</v>
      </c>
      <c r="AG27" s="2" t="s">
        <v>101</v>
      </c>
      <c r="AH27" s="5">
        <v>0</v>
      </c>
      <c r="AI27" s="5">
        <v>238</v>
      </c>
      <c r="AJ27" s="5">
        <v>0</v>
      </c>
    </row>
    <row r="28" ht="17.5" customHeight="1" spans="1:36">
      <c r="A28" s="2" t="s">
        <v>813</v>
      </c>
      <c r="B28" s="2" t="s">
        <v>727</v>
      </c>
      <c r="C28" s="2" t="s">
        <v>181</v>
      </c>
      <c r="D28" s="2" t="s">
        <v>182</v>
      </c>
      <c r="E28" s="2" t="s">
        <v>182</v>
      </c>
      <c r="F28" s="9" t="str">
        <f>VLOOKUP(E28,'[1]202501入账'!$A:$F,5,0)</f>
        <v>中心负责人</v>
      </c>
      <c r="G28" s="9" t="str">
        <f>VLOOKUP(E28,'[1]202501入账'!$A:$F,6,0)</f>
        <v/>
      </c>
      <c r="H28" s="2" t="s">
        <v>1</v>
      </c>
      <c r="I28" s="6">
        <v>45672.3590277778</v>
      </c>
      <c r="J28" s="3">
        <v>45675</v>
      </c>
      <c r="K28" s="3">
        <v>45676</v>
      </c>
      <c r="L28" s="2" t="s">
        <v>776</v>
      </c>
      <c r="M28" s="2" t="s">
        <v>814</v>
      </c>
      <c r="N28" s="2" t="s">
        <v>815</v>
      </c>
      <c r="O28" s="2" t="s">
        <v>816</v>
      </c>
      <c r="P28" s="5">
        <v>0</v>
      </c>
      <c r="Q28" s="5">
        <v>326</v>
      </c>
      <c r="R28" s="2">
        <v>1</v>
      </c>
      <c r="S28" s="2" t="s">
        <v>741</v>
      </c>
      <c r="T28" s="2">
        <v>1</v>
      </c>
      <c r="U28" s="5">
        <v>326</v>
      </c>
      <c r="V28" s="5">
        <v>0</v>
      </c>
      <c r="W28" s="2" t="s">
        <v>1</v>
      </c>
      <c r="X28" s="2" t="s">
        <v>723</v>
      </c>
      <c r="Y28" s="2" t="s">
        <v>724</v>
      </c>
      <c r="Z28" s="2" t="s">
        <v>1</v>
      </c>
      <c r="AA28" s="2" t="s">
        <v>1</v>
      </c>
      <c r="AB28" s="2" t="s">
        <v>1</v>
      </c>
      <c r="AC28" s="2" t="s">
        <v>1</v>
      </c>
      <c r="AD28" s="2" t="s">
        <v>1</v>
      </c>
      <c r="AE28" s="2" t="s">
        <v>1</v>
      </c>
      <c r="AF28" s="2" t="s">
        <v>1</v>
      </c>
      <c r="AG28" s="2" t="s">
        <v>101</v>
      </c>
      <c r="AH28" s="5">
        <v>0</v>
      </c>
      <c r="AI28" s="5">
        <v>326</v>
      </c>
      <c r="AJ28" s="5">
        <v>0</v>
      </c>
    </row>
    <row r="29" ht="17.5" customHeight="1" spans="1:36">
      <c r="A29" s="8" t="s">
        <v>817</v>
      </c>
      <c r="B29" s="8" t="s">
        <v>715</v>
      </c>
      <c r="C29" s="8" t="s">
        <v>99</v>
      </c>
      <c r="D29" s="8" t="s">
        <v>100</v>
      </c>
      <c r="E29" s="8" t="s">
        <v>100</v>
      </c>
      <c r="F29" s="9" t="str">
        <f>VLOOKUP(E29,'[1]202501入账'!$A:$F,5,0)</f>
        <v>中心负责人</v>
      </c>
      <c r="G29" s="9" t="str">
        <f>VLOOKUP(E29,'[1]202501入账'!$A:$F,6,0)</f>
        <v/>
      </c>
      <c r="H29" s="8" t="s">
        <v>1</v>
      </c>
      <c r="I29" s="10">
        <v>45646.8291666667</v>
      </c>
      <c r="J29" s="11">
        <v>45656</v>
      </c>
      <c r="K29" s="11">
        <v>45657</v>
      </c>
      <c r="L29" s="8" t="s">
        <v>818</v>
      </c>
      <c r="M29" s="8" t="s">
        <v>819</v>
      </c>
      <c r="N29" s="8" t="s">
        <v>820</v>
      </c>
      <c r="O29" s="8" t="s">
        <v>821</v>
      </c>
      <c r="P29" s="12">
        <v>0</v>
      </c>
      <c r="Q29" s="13">
        <v>400</v>
      </c>
      <c r="R29" s="8">
        <v>1</v>
      </c>
      <c r="S29" s="8" t="s">
        <v>822</v>
      </c>
      <c r="T29" s="8">
        <v>-1</v>
      </c>
      <c r="U29" s="13">
        <v>-400</v>
      </c>
      <c r="V29" s="12">
        <v>0</v>
      </c>
      <c r="W29" s="8" t="s">
        <v>1</v>
      </c>
      <c r="X29" s="8" t="s">
        <v>723</v>
      </c>
      <c r="Y29" s="8" t="s">
        <v>724</v>
      </c>
      <c r="Z29" s="8" t="s">
        <v>1</v>
      </c>
      <c r="AA29" s="8" t="s">
        <v>1</v>
      </c>
      <c r="AB29" s="8" t="s">
        <v>1</v>
      </c>
      <c r="AC29" s="8" t="s">
        <v>1</v>
      </c>
      <c r="AD29" s="8" t="s">
        <v>1</v>
      </c>
      <c r="AE29" s="8" t="s">
        <v>1</v>
      </c>
      <c r="AF29" s="8" t="s">
        <v>1</v>
      </c>
      <c r="AG29" s="8" t="s">
        <v>101</v>
      </c>
      <c r="AH29" s="12">
        <v>0</v>
      </c>
      <c r="AI29" s="12">
        <v>-400</v>
      </c>
      <c r="AJ29" s="12">
        <v>0</v>
      </c>
    </row>
    <row r="30" ht="17.5" customHeight="1" spans="1:36">
      <c r="A30" s="2" t="s">
        <v>823</v>
      </c>
      <c r="B30" s="2" t="s">
        <v>727</v>
      </c>
      <c r="C30" s="2" t="s">
        <v>542</v>
      </c>
      <c r="D30" s="2" t="s">
        <v>543</v>
      </c>
      <c r="E30" s="2" t="s">
        <v>543</v>
      </c>
      <c r="F30" s="9" t="str">
        <f>VLOOKUP(E30,'[1]202501入账'!$A:$F,5,0)</f>
        <v>KA销售中心</v>
      </c>
      <c r="G30" s="9" t="str">
        <f>VLOOKUP(E30,'[1]202501入账'!$A:$F,6,0)</f>
        <v>渠道合作组-华南区</v>
      </c>
      <c r="H30" s="2" t="s">
        <v>1</v>
      </c>
      <c r="I30" s="6">
        <v>45673.8486111111</v>
      </c>
      <c r="J30" s="3">
        <v>45673</v>
      </c>
      <c r="K30" s="3">
        <v>45675</v>
      </c>
      <c r="L30" s="2" t="s">
        <v>737</v>
      </c>
      <c r="M30" s="2" t="s">
        <v>824</v>
      </c>
      <c r="N30" s="2" t="s">
        <v>825</v>
      </c>
      <c r="O30" s="2" t="s">
        <v>749</v>
      </c>
      <c r="P30" s="5">
        <v>0</v>
      </c>
      <c r="Q30" s="5">
        <v>367</v>
      </c>
      <c r="R30" s="2">
        <v>1</v>
      </c>
      <c r="S30" s="2" t="s">
        <v>722</v>
      </c>
      <c r="T30" s="2">
        <v>2</v>
      </c>
      <c r="U30" s="5">
        <v>734</v>
      </c>
      <c r="V30" s="5">
        <v>0</v>
      </c>
      <c r="W30" s="2" t="s">
        <v>1</v>
      </c>
      <c r="X30" s="2" t="s">
        <v>723</v>
      </c>
      <c r="Y30" s="2" t="s">
        <v>724</v>
      </c>
      <c r="Z30" s="2" t="s">
        <v>1</v>
      </c>
      <c r="AA30" s="2" t="s">
        <v>1</v>
      </c>
      <c r="AB30" s="2" t="s">
        <v>1</v>
      </c>
      <c r="AC30" s="2" t="s">
        <v>1</v>
      </c>
      <c r="AD30" s="2" t="s">
        <v>1</v>
      </c>
      <c r="AE30" s="2" t="s">
        <v>1</v>
      </c>
      <c r="AF30" s="2" t="s">
        <v>826</v>
      </c>
      <c r="AG30" s="2" t="s">
        <v>101</v>
      </c>
      <c r="AH30" s="5">
        <v>0</v>
      </c>
      <c r="AI30" s="5">
        <v>734</v>
      </c>
      <c r="AJ30" s="5">
        <v>0</v>
      </c>
    </row>
    <row r="31" ht="17.5" customHeight="1" spans="1:36">
      <c r="A31" s="2" t="s">
        <v>827</v>
      </c>
      <c r="B31" s="2" t="s">
        <v>727</v>
      </c>
      <c r="C31" s="2" t="s">
        <v>181</v>
      </c>
      <c r="D31" s="2" t="s">
        <v>182</v>
      </c>
      <c r="E31" s="2" t="s">
        <v>182</v>
      </c>
      <c r="F31" s="9" t="str">
        <f>VLOOKUP(E31,'[1]202501入账'!$A:$F,5,0)</f>
        <v>中心负责人</v>
      </c>
      <c r="G31" s="9" t="str">
        <f>VLOOKUP(E31,'[1]202501入账'!$A:$F,6,0)</f>
        <v/>
      </c>
      <c r="H31" s="2" t="s">
        <v>1</v>
      </c>
      <c r="I31" s="6">
        <v>45675.4819444444</v>
      </c>
      <c r="J31" s="3">
        <v>45676</v>
      </c>
      <c r="K31" s="3">
        <v>45677</v>
      </c>
      <c r="L31" s="2" t="s">
        <v>828</v>
      </c>
      <c r="M31" s="2" t="s">
        <v>829</v>
      </c>
      <c r="N31" s="2" t="s">
        <v>830</v>
      </c>
      <c r="O31" s="2" t="s">
        <v>758</v>
      </c>
      <c r="P31" s="5">
        <v>0</v>
      </c>
      <c r="Q31" s="5">
        <v>279</v>
      </c>
      <c r="R31" s="2">
        <v>1</v>
      </c>
      <c r="S31" s="2" t="s">
        <v>741</v>
      </c>
      <c r="T31" s="2">
        <v>1</v>
      </c>
      <c r="U31" s="5">
        <v>279</v>
      </c>
      <c r="V31" s="5">
        <v>0</v>
      </c>
      <c r="W31" s="2" t="s">
        <v>1</v>
      </c>
      <c r="X31" s="2" t="s">
        <v>723</v>
      </c>
      <c r="Y31" s="2" t="s">
        <v>724</v>
      </c>
      <c r="Z31" s="2" t="s">
        <v>1</v>
      </c>
      <c r="AA31" s="2" t="s">
        <v>1</v>
      </c>
      <c r="AB31" s="2" t="s">
        <v>1</v>
      </c>
      <c r="AC31" s="2" t="s">
        <v>1</v>
      </c>
      <c r="AD31" s="2" t="s">
        <v>1</v>
      </c>
      <c r="AE31" s="2" t="s">
        <v>1</v>
      </c>
      <c r="AF31" s="2" t="s">
        <v>1</v>
      </c>
      <c r="AG31" s="2" t="s">
        <v>101</v>
      </c>
      <c r="AH31" s="5">
        <v>0</v>
      </c>
      <c r="AI31" s="5">
        <v>279</v>
      </c>
      <c r="AJ31" s="5">
        <v>0</v>
      </c>
    </row>
    <row r="32" ht="17.5" customHeight="1" spans="1:36">
      <c r="A32" s="2" t="s">
        <v>831</v>
      </c>
      <c r="B32" s="2" t="s">
        <v>727</v>
      </c>
      <c r="C32" s="2" t="s">
        <v>192</v>
      </c>
      <c r="D32" s="2" t="s">
        <v>193</v>
      </c>
      <c r="E32" s="2" t="s">
        <v>193</v>
      </c>
      <c r="F32" s="9" t="str">
        <f>VLOOKUP(E32,'[1]202501入账'!$A:$F,5,0)</f>
        <v>运营支持中心</v>
      </c>
      <c r="G32" s="9" t="str">
        <f>VLOOKUP(E32,'[1]202501入账'!$A:$F,6,0)</f>
        <v>新零售服务一组</v>
      </c>
      <c r="H32" s="2" t="s">
        <v>1</v>
      </c>
      <c r="I32" s="6">
        <v>45675.58125</v>
      </c>
      <c r="J32" s="3">
        <v>45675</v>
      </c>
      <c r="K32" s="3">
        <v>45676</v>
      </c>
      <c r="L32" s="2" t="s">
        <v>828</v>
      </c>
      <c r="M32" s="2" t="s">
        <v>829</v>
      </c>
      <c r="N32" s="2" t="s">
        <v>830</v>
      </c>
      <c r="O32" s="2" t="s">
        <v>758</v>
      </c>
      <c r="P32" s="5">
        <v>0</v>
      </c>
      <c r="Q32" s="5">
        <v>293</v>
      </c>
      <c r="R32" s="2">
        <v>1</v>
      </c>
      <c r="S32" s="2" t="s">
        <v>741</v>
      </c>
      <c r="T32" s="2">
        <v>1</v>
      </c>
      <c r="U32" s="5">
        <v>293</v>
      </c>
      <c r="V32" s="5">
        <v>0</v>
      </c>
      <c r="W32" s="2" t="s">
        <v>1</v>
      </c>
      <c r="X32" s="2" t="s">
        <v>723</v>
      </c>
      <c r="Y32" s="2" t="s">
        <v>724</v>
      </c>
      <c r="Z32" s="2" t="s">
        <v>1</v>
      </c>
      <c r="AA32" s="2" t="s">
        <v>1</v>
      </c>
      <c r="AB32" s="2" t="s">
        <v>1</v>
      </c>
      <c r="AC32" s="2" t="s">
        <v>1</v>
      </c>
      <c r="AD32" s="2" t="s">
        <v>1</v>
      </c>
      <c r="AE32" s="2" t="s">
        <v>1</v>
      </c>
      <c r="AF32" s="2" t="s">
        <v>832</v>
      </c>
      <c r="AG32" s="2" t="s">
        <v>101</v>
      </c>
      <c r="AH32" s="5">
        <v>0</v>
      </c>
      <c r="AI32" s="5">
        <v>293</v>
      </c>
      <c r="AJ32" s="5">
        <v>0</v>
      </c>
    </row>
    <row r="33" ht="17.5" customHeight="1" spans="1:36">
      <c r="A33" s="2" t="s">
        <v>833</v>
      </c>
      <c r="B33" s="2" t="s">
        <v>727</v>
      </c>
      <c r="C33" s="2" t="s">
        <v>834</v>
      </c>
      <c r="D33" s="2" t="s">
        <v>835</v>
      </c>
      <c r="E33" s="2" t="s">
        <v>835</v>
      </c>
      <c r="F33" s="9" t="str">
        <f>VLOOKUP(E33,'[1]202501入账'!$A:$F,5,0)</f>
        <v>KA销售中心</v>
      </c>
      <c r="G33" s="9" t="str">
        <f>VLOOKUP(E33,'[1]202501入账'!$A:$F,6,0)</f>
        <v>渠道合作组-西南区</v>
      </c>
      <c r="H33" s="2" t="s">
        <v>1</v>
      </c>
      <c r="I33" s="6">
        <v>45675.5847222222</v>
      </c>
      <c r="J33" s="3">
        <v>45675</v>
      </c>
      <c r="K33" s="3">
        <v>45676</v>
      </c>
      <c r="L33" s="2" t="s">
        <v>836</v>
      </c>
      <c r="M33" s="2" t="s">
        <v>837</v>
      </c>
      <c r="N33" s="2" t="s">
        <v>838</v>
      </c>
      <c r="O33" s="2" t="s">
        <v>839</v>
      </c>
      <c r="P33" s="5">
        <v>0</v>
      </c>
      <c r="Q33" s="5">
        <v>251</v>
      </c>
      <c r="R33" s="2">
        <v>1</v>
      </c>
      <c r="S33" s="2" t="s">
        <v>741</v>
      </c>
      <c r="T33" s="2">
        <v>1</v>
      </c>
      <c r="U33" s="5">
        <v>250</v>
      </c>
      <c r="V33" s="5">
        <v>0</v>
      </c>
      <c r="W33" s="2" t="s">
        <v>1</v>
      </c>
      <c r="X33" s="2" t="s">
        <v>723</v>
      </c>
      <c r="Y33" s="2" t="s">
        <v>724</v>
      </c>
      <c r="Z33" s="2" t="s">
        <v>1</v>
      </c>
      <c r="AA33" s="2" t="s">
        <v>1</v>
      </c>
      <c r="AB33" s="2" t="s">
        <v>1</v>
      </c>
      <c r="AC33" s="2" t="s">
        <v>1</v>
      </c>
      <c r="AD33" s="2" t="s">
        <v>1</v>
      </c>
      <c r="AE33" s="2" t="s">
        <v>1</v>
      </c>
      <c r="AF33" s="2" t="s">
        <v>840</v>
      </c>
      <c r="AG33" s="2" t="s">
        <v>101</v>
      </c>
      <c r="AH33" s="5">
        <v>0</v>
      </c>
      <c r="AI33" s="5">
        <v>250</v>
      </c>
      <c r="AJ33" s="5">
        <v>0</v>
      </c>
    </row>
    <row r="34" ht="17.5" customHeight="1" spans="1:36">
      <c r="A34" s="2" t="s">
        <v>841</v>
      </c>
      <c r="B34" s="2" t="s">
        <v>727</v>
      </c>
      <c r="C34" s="2" t="s">
        <v>192</v>
      </c>
      <c r="D34" s="2" t="s">
        <v>193</v>
      </c>
      <c r="E34" s="2" t="s">
        <v>193</v>
      </c>
      <c r="F34" s="9" t="str">
        <f>VLOOKUP(E34,'[1]202501入账'!$A:$F,5,0)</f>
        <v>运营支持中心</v>
      </c>
      <c r="G34" s="9" t="str">
        <f>VLOOKUP(E34,'[1]202501入账'!$A:$F,6,0)</f>
        <v>新零售服务一组</v>
      </c>
      <c r="H34" s="2" t="s">
        <v>1</v>
      </c>
      <c r="I34" s="6">
        <v>45676.8777777778</v>
      </c>
      <c r="J34" s="3">
        <v>45676</v>
      </c>
      <c r="K34" s="3">
        <v>45677</v>
      </c>
      <c r="L34" s="2" t="s">
        <v>828</v>
      </c>
      <c r="M34" s="2" t="s">
        <v>829</v>
      </c>
      <c r="N34" s="2" t="s">
        <v>830</v>
      </c>
      <c r="O34" s="2" t="s">
        <v>758</v>
      </c>
      <c r="P34" s="5">
        <v>0</v>
      </c>
      <c r="Q34" s="5">
        <v>293</v>
      </c>
      <c r="R34" s="2">
        <v>1</v>
      </c>
      <c r="S34" s="2" t="s">
        <v>741</v>
      </c>
      <c r="T34" s="2">
        <v>1</v>
      </c>
      <c r="U34" s="5">
        <v>293</v>
      </c>
      <c r="V34" s="5">
        <v>0</v>
      </c>
      <c r="W34" s="2" t="s">
        <v>1</v>
      </c>
      <c r="X34" s="2" t="s">
        <v>723</v>
      </c>
      <c r="Y34" s="2" t="s">
        <v>724</v>
      </c>
      <c r="Z34" s="2" t="s">
        <v>1</v>
      </c>
      <c r="AA34" s="2" t="s">
        <v>1</v>
      </c>
      <c r="AB34" s="2" t="s">
        <v>1</v>
      </c>
      <c r="AC34" s="2" t="s">
        <v>1</v>
      </c>
      <c r="AD34" s="2" t="s">
        <v>1</v>
      </c>
      <c r="AE34" s="2" t="s">
        <v>1</v>
      </c>
      <c r="AF34" s="2" t="s">
        <v>842</v>
      </c>
      <c r="AG34" s="2" t="s">
        <v>101</v>
      </c>
      <c r="AH34" s="5">
        <v>0</v>
      </c>
      <c r="AI34" s="5">
        <v>293</v>
      </c>
      <c r="AJ34" s="5">
        <v>0</v>
      </c>
    </row>
    <row r="35" ht="17.5" customHeight="1" spans="1:36">
      <c r="A35" s="2" t="s">
        <v>843</v>
      </c>
      <c r="B35" s="2" t="s">
        <v>727</v>
      </c>
      <c r="C35" s="2" t="s">
        <v>186</v>
      </c>
      <c r="D35" s="2" t="s">
        <v>187</v>
      </c>
      <c r="E35" s="2" t="s">
        <v>187</v>
      </c>
      <c r="F35" s="9" t="str">
        <f>VLOOKUP(E35,'[1]202501入账'!$A:$F,5,0)</f>
        <v>数智平台中心</v>
      </c>
      <c r="G35" s="9" t="str">
        <f>VLOOKUP(E35,'[1]202501入账'!$A:$F,6,0)</f>
        <v>数智产品组</v>
      </c>
      <c r="H35" s="2" t="s">
        <v>1</v>
      </c>
      <c r="I35" s="6">
        <v>45652.3527777778</v>
      </c>
      <c r="J35" s="3">
        <v>45652</v>
      </c>
      <c r="K35" s="3">
        <v>45653</v>
      </c>
      <c r="L35" s="2" t="s">
        <v>828</v>
      </c>
      <c r="M35" s="2" t="s">
        <v>844</v>
      </c>
      <c r="N35" s="2" t="s">
        <v>845</v>
      </c>
      <c r="O35" s="2" t="s">
        <v>846</v>
      </c>
      <c r="P35" s="5">
        <v>0</v>
      </c>
      <c r="Q35" s="5">
        <v>223</v>
      </c>
      <c r="R35" s="2">
        <v>1</v>
      </c>
      <c r="S35" s="2" t="s">
        <v>780</v>
      </c>
      <c r="T35" s="2">
        <v>1</v>
      </c>
      <c r="U35" s="5">
        <v>223</v>
      </c>
      <c r="V35" s="5">
        <v>13.38</v>
      </c>
      <c r="W35" s="2" t="s">
        <v>1</v>
      </c>
      <c r="X35" s="2" t="s">
        <v>723</v>
      </c>
      <c r="Y35" s="2" t="s">
        <v>724</v>
      </c>
      <c r="Z35" s="2" t="s">
        <v>1</v>
      </c>
      <c r="AA35" s="2" t="s">
        <v>1</v>
      </c>
      <c r="AB35" s="2" t="s">
        <v>1</v>
      </c>
      <c r="AC35" s="2" t="s">
        <v>1</v>
      </c>
      <c r="AD35" s="2" t="s">
        <v>1</v>
      </c>
      <c r="AE35" s="2" t="s">
        <v>1</v>
      </c>
      <c r="AF35" s="2" t="s">
        <v>847</v>
      </c>
      <c r="AG35" s="2" t="s">
        <v>101</v>
      </c>
      <c r="AH35" s="5">
        <v>0</v>
      </c>
      <c r="AI35" s="5">
        <v>236.38</v>
      </c>
      <c r="AJ35" s="5">
        <v>0</v>
      </c>
    </row>
    <row r="36" ht="17.5" customHeight="1" spans="1:36">
      <c r="A36" s="2" t="s">
        <v>848</v>
      </c>
      <c r="B36" s="2" t="s">
        <v>727</v>
      </c>
      <c r="C36" s="2" t="s">
        <v>141</v>
      </c>
      <c r="D36" s="2" t="s">
        <v>142</v>
      </c>
      <c r="E36" s="2" t="s">
        <v>142</v>
      </c>
      <c r="F36" s="9" t="str">
        <f>VLOOKUP(E36,'[1]202501入账'!$A:$F,5,0)</f>
        <v>生态运营中心</v>
      </c>
      <c r="G36" s="9" t="str">
        <f>VLOOKUP(E36,'[1]202501入账'!$A:$F,6,0)</f>
        <v>KA运营组</v>
      </c>
      <c r="H36" s="2" t="s">
        <v>1</v>
      </c>
      <c r="I36" s="6">
        <v>45652.4145833333</v>
      </c>
      <c r="J36" s="3">
        <v>45652</v>
      </c>
      <c r="K36" s="3">
        <v>45653</v>
      </c>
      <c r="L36" s="2" t="s">
        <v>783</v>
      </c>
      <c r="M36" s="2" t="s">
        <v>849</v>
      </c>
      <c r="N36" s="2" t="s">
        <v>850</v>
      </c>
      <c r="O36" s="2" t="s">
        <v>851</v>
      </c>
      <c r="P36" s="5">
        <v>0</v>
      </c>
      <c r="Q36" s="5">
        <v>248</v>
      </c>
      <c r="R36" s="2">
        <v>1</v>
      </c>
      <c r="S36" s="2" t="s">
        <v>780</v>
      </c>
      <c r="T36" s="2">
        <v>1</v>
      </c>
      <c r="U36" s="5">
        <v>248</v>
      </c>
      <c r="V36" s="5">
        <v>0</v>
      </c>
      <c r="W36" s="2" t="s">
        <v>1</v>
      </c>
      <c r="X36" s="2" t="s">
        <v>723</v>
      </c>
      <c r="Y36" s="2" t="s">
        <v>724</v>
      </c>
      <c r="Z36" s="2" t="s">
        <v>1</v>
      </c>
      <c r="AA36" s="2" t="s">
        <v>1</v>
      </c>
      <c r="AB36" s="2" t="s">
        <v>1</v>
      </c>
      <c r="AC36" s="2" t="s">
        <v>1</v>
      </c>
      <c r="AD36" s="2" t="s">
        <v>1</v>
      </c>
      <c r="AE36" s="2" t="s">
        <v>1</v>
      </c>
      <c r="AF36" s="2" t="s">
        <v>852</v>
      </c>
      <c r="AG36" s="2" t="s">
        <v>101</v>
      </c>
      <c r="AH36" s="5">
        <v>0</v>
      </c>
      <c r="AI36" s="5">
        <v>248</v>
      </c>
      <c r="AJ36" s="5">
        <v>0</v>
      </c>
    </row>
    <row r="37" ht="17.5" customHeight="1" spans="1:36">
      <c r="A37" s="2" t="s">
        <v>853</v>
      </c>
      <c r="B37" s="2" t="s">
        <v>727</v>
      </c>
      <c r="C37" s="2" t="s">
        <v>834</v>
      </c>
      <c r="D37" s="2" t="s">
        <v>835</v>
      </c>
      <c r="E37" s="2" t="s">
        <v>835</v>
      </c>
      <c r="F37" s="9" t="str">
        <f>VLOOKUP(E37,'[1]202501入账'!$A:$F,5,0)</f>
        <v>KA销售中心</v>
      </c>
      <c r="G37" s="9" t="str">
        <f>VLOOKUP(E37,'[1]202501入账'!$A:$F,6,0)</f>
        <v>渠道合作组-西南区</v>
      </c>
      <c r="H37" s="2" t="s">
        <v>1</v>
      </c>
      <c r="I37" s="6">
        <v>45652.4986111111</v>
      </c>
      <c r="J37" s="3">
        <v>45652</v>
      </c>
      <c r="K37" s="3">
        <v>45653</v>
      </c>
      <c r="L37" s="2" t="s">
        <v>854</v>
      </c>
      <c r="M37" s="2" t="s">
        <v>855</v>
      </c>
      <c r="N37" s="2" t="s">
        <v>856</v>
      </c>
      <c r="O37" s="2" t="s">
        <v>734</v>
      </c>
      <c r="P37" s="5">
        <v>0</v>
      </c>
      <c r="Q37" s="5">
        <v>290</v>
      </c>
      <c r="R37" s="2">
        <v>1</v>
      </c>
      <c r="S37" s="2" t="s">
        <v>741</v>
      </c>
      <c r="T37" s="2">
        <v>1</v>
      </c>
      <c r="U37" s="5">
        <v>290</v>
      </c>
      <c r="V37" s="5">
        <v>0</v>
      </c>
      <c r="W37" s="2" t="s">
        <v>1</v>
      </c>
      <c r="X37" s="2" t="s">
        <v>723</v>
      </c>
      <c r="Y37" s="2" t="s">
        <v>724</v>
      </c>
      <c r="Z37" s="2" t="s">
        <v>1</v>
      </c>
      <c r="AA37" s="2" t="s">
        <v>1</v>
      </c>
      <c r="AB37" s="2" t="s">
        <v>1</v>
      </c>
      <c r="AC37" s="2" t="s">
        <v>1</v>
      </c>
      <c r="AD37" s="2" t="s">
        <v>1</v>
      </c>
      <c r="AE37" s="2" t="s">
        <v>1</v>
      </c>
      <c r="AF37" s="2" t="s">
        <v>857</v>
      </c>
      <c r="AG37" s="2" t="s">
        <v>101</v>
      </c>
      <c r="AH37" s="5">
        <v>0</v>
      </c>
      <c r="AI37" s="5">
        <v>290</v>
      </c>
      <c r="AJ37" s="5">
        <v>0</v>
      </c>
    </row>
    <row r="38" ht="17.5" customHeight="1" spans="1:36">
      <c r="A38" s="2" t="s">
        <v>858</v>
      </c>
      <c r="B38" s="2" t="s">
        <v>727</v>
      </c>
      <c r="C38" s="2" t="s">
        <v>352</v>
      </c>
      <c r="D38" s="2" t="s">
        <v>353</v>
      </c>
      <c r="E38" s="2" t="s">
        <v>353</v>
      </c>
      <c r="F38" s="9" t="str">
        <f>VLOOKUP(E38,'[1]202501入账'!$A:$F,5,0)</f>
        <v>KA销售中心</v>
      </c>
      <c r="G38" s="9" t="str">
        <f>VLOOKUP(E38,'[1]202501入账'!$A:$F,6,0)</f>
        <v>KA销售组</v>
      </c>
      <c r="H38" s="2" t="s">
        <v>1</v>
      </c>
      <c r="I38" s="6">
        <v>45652.5027777778</v>
      </c>
      <c r="J38" s="3">
        <v>45652</v>
      </c>
      <c r="K38" s="3">
        <v>45653</v>
      </c>
      <c r="L38" s="2" t="s">
        <v>731</v>
      </c>
      <c r="M38" s="2" t="s">
        <v>859</v>
      </c>
      <c r="N38" s="2" t="s">
        <v>860</v>
      </c>
      <c r="O38" s="2" t="s">
        <v>861</v>
      </c>
      <c r="P38" s="5">
        <v>0</v>
      </c>
      <c r="Q38" s="5">
        <v>234</v>
      </c>
      <c r="R38" s="2">
        <v>1</v>
      </c>
      <c r="S38" s="2" t="s">
        <v>741</v>
      </c>
      <c r="T38" s="2">
        <v>1</v>
      </c>
      <c r="U38" s="5">
        <v>234</v>
      </c>
      <c r="V38" s="5">
        <v>0</v>
      </c>
      <c r="W38" s="2" t="s">
        <v>1</v>
      </c>
      <c r="X38" s="2" t="s">
        <v>723</v>
      </c>
      <c r="Y38" s="2" t="s">
        <v>724</v>
      </c>
      <c r="Z38" s="2" t="s">
        <v>1</v>
      </c>
      <c r="AA38" s="2" t="s">
        <v>1</v>
      </c>
      <c r="AB38" s="2" t="s">
        <v>1</v>
      </c>
      <c r="AC38" s="2" t="s">
        <v>1</v>
      </c>
      <c r="AD38" s="2" t="s">
        <v>1</v>
      </c>
      <c r="AE38" s="2" t="s">
        <v>1</v>
      </c>
      <c r="AF38" s="2" t="s">
        <v>862</v>
      </c>
      <c r="AG38" s="2" t="s">
        <v>101</v>
      </c>
      <c r="AH38" s="5">
        <v>0</v>
      </c>
      <c r="AI38" s="5">
        <v>234</v>
      </c>
      <c r="AJ38" s="5">
        <v>0</v>
      </c>
    </row>
    <row r="39" ht="17.5" customHeight="1" spans="1:36">
      <c r="A39" s="2" t="s">
        <v>863</v>
      </c>
      <c r="B39" s="2" t="s">
        <v>727</v>
      </c>
      <c r="C39" s="2" t="s">
        <v>313</v>
      </c>
      <c r="D39" s="2" t="s">
        <v>314</v>
      </c>
      <c r="E39" s="2" t="s">
        <v>314</v>
      </c>
      <c r="F39" s="9" t="str">
        <f>VLOOKUP(E39,'[1]202501入账'!$A:$F,5,0)</f>
        <v>KA销售中心</v>
      </c>
      <c r="G39" s="9" t="str">
        <f>VLOOKUP(E39,'[1]202501入账'!$A:$F,6,0)</f>
        <v>KA销售组</v>
      </c>
      <c r="H39" s="2" t="s">
        <v>1</v>
      </c>
      <c r="I39" s="6">
        <v>45652.5569444444</v>
      </c>
      <c r="J39" s="3">
        <v>45652</v>
      </c>
      <c r="K39" s="3">
        <v>45653</v>
      </c>
      <c r="L39" s="2" t="s">
        <v>776</v>
      </c>
      <c r="M39" s="2" t="s">
        <v>794</v>
      </c>
      <c r="N39" s="2" t="s">
        <v>795</v>
      </c>
      <c r="O39" s="2" t="s">
        <v>864</v>
      </c>
      <c r="P39" s="5">
        <v>0</v>
      </c>
      <c r="Q39" s="5">
        <v>278</v>
      </c>
      <c r="R39" s="2">
        <v>1</v>
      </c>
      <c r="S39" s="2" t="s">
        <v>741</v>
      </c>
      <c r="T39" s="2">
        <v>1</v>
      </c>
      <c r="U39" s="5">
        <v>278</v>
      </c>
      <c r="V39" s="5">
        <v>16.68</v>
      </c>
      <c r="W39" s="2" t="s">
        <v>1</v>
      </c>
      <c r="X39" s="2" t="s">
        <v>723</v>
      </c>
      <c r="Y39" s="2" t="s">
        <v>724</v>
      </c>
      <c r="Z39" s="2" t="s">
        <v>1</v>
      </c>
      <c r="AA39" s="2" t="s">
        <v>1</v>
      </c>
      <c r="AB39" s="2" t="s">
        <v>1</v>
      </c>
      <c r="AC39" s="2" t="s">
        <v>1</v>
      </c>
      <c r="AD39" s="2" t="s">
        <v>1</v>
      </c>
      <c r="AE39" s="2" t="s">
        <v>1</v>
      </c>
      <c r="AF39" s="2" t="s">
        <v>865</v>
      </c>
      <c r="AG39" s="2" t="s">
        <v>101</v>
      </c>
      <c r="AH39" s="5">
        <v>0</v>
      </c>
      <c r="AI39" s="5">
        <v>294.68</v>
      </c>
      <c r="AJ39" s="5">
        <v>0</v>
      </c>
    </row>
    <row r="40" ht="17.5" customHeight="1" spans="1:36">
      <c r="A40" s="2" t="s">
        <v>866</v>
      </c>
      <c r="B40" s="2" t="s">
        <v>727</v>
      </c>
      <c r="C40" s="2" t="s">
        <v>867</v>
      </c>
      <c r="D40" s="2" t="s">
        <v>868</v>
      </c>
      <c r="E40" s="2" t="s">
        <v>868</v>
      </c>
      <c r="F40" s="9" t="str">
        <f>VLOOKUP(E40,'[1]202501入账'!$A:$F,5,0)</f>
        <v>KA销售中心</v>
      </c>
      <c r="G40" s="9" t="str">
        <f>VLOOKUP(E40,'[1]202501入账'!$A:$F,6,0)</f>
        <v>KA销售组</v>
      </c>
      <c r="H40" s="2" t="s">
        <v>1</v>
      </c>
      <c r="I40" s="6">
        <v>45652.5875</v>
      </c>
      <c r="J40" s="3">
        <v>45652</v>
      </c>
      <c r="K40" s="3">
        <v>45653</v>
      </c>
      <c r="L40" s="2" t="s">
        <v>776</v>
      </c>
      <c r="M40" s="2" t="s">
        <v>794</v>
      </c>
      <c r="N40" s="2" t="s">
        <v>795</v>
      </c>
      <c r="O40" s="2" t="s">
        <v>796</v>
      </c>
      <c r="P40" s="5">
        <v>0</v>
      </c>
      <c r="Q40" s="5">
        <v>231</v>
      </c>
      <c r="R40" s="2">
        <v>1</v>
      </c>
      <c r="S40" s="2" t="s">
        <v>741</v>
      </c>
      <c r="T40" s="2">
        <v>1</v>
      </c>
      <c r="U40" s="5">
        <v>231</v>
      </c>
      <c r="V40" s="5">
        <v>13.86</v>
      </c>
      <c r="W40" s="2" t="s">
        <v>1</v>
      </c>
      <c r="X40" s="2" t="s">
        <v>723</v>
      </c>
      <c r="Y40" s="2" t="s">
        <v>724</v>
      </c>
      <c r="Z40" s="2" t="s">
        <v>1</v>
      </c>
      <c r="AA40" s="2" t="s">
        <v>1</v>
      </c>
      <c r="AB40" s="2" t="s">
        <v>1</v>
      </c>
      <c r="AC40" s="2" t="s">
        <v>1</v>
      </c>
      <c r="AD40" s="2" t="s">
        <v>1</v>
      </c>
      <c r="AE40" s="2" t="s">
        <v>1</v>
      </c>
      <c r="AF40" s="2" t="s">
        <v>869</v>
      </c>
      <c r="AG40" s="2" t="s">
        <v>101</v>
      </c>
      <c r="AH40" s="5">
        <v>0</v>
      </c>
      <c r="AI40" s="5">
        <v>244.86</v>
      </c>
      <c r="AJ40" s="5">
        <v>0</v>
      </c>
    </row>
    <row r="41" ht="17.5" customHeight="1" spans="1:36">
      <c r="A41" s="2" t="s">
        <v>870</v>
      </c>
      <c r="B41" s="2" t="s">
        <v>727</v>
      </c>
      <c r="C41" s="2" t="s">
        <v>282</v>
      </c>
      <c r="D41" s="2" t="s">
        <v>283</v>
      </c>
      <c r="E41" s="2" t="s">
        <v>283</v>
      </c>
      <c r="F41" s="9" t="str">
        <f>VLOOKUP(E41,'[1]202501入账'!$A:$F,5,0)</f>
        <v>KA销售中心</v>
      </c>
      <c r="G41" s="9" t="str">
        <f>VLOOKUP(E41,'[1]202501入账'!$A:$F,6,0)</f>
        <v>渠道合作组-华北区</v>
      </c>
      <c r="H41" s="2" t="s">
        <v>1</v>
      </c>
      <c r="I41" s="6">
        <v>45652.5881944444</v>
      </c>
      <c r="J41" s="3">
        <v>45652</v>
      </c>
      <c r="K41" s="3">
        <v>45653</v>
      </c>
      <c r="L41" s="2" t="s">
        <v>752</v>
      </c>
      <c r="M41" s="2" t="s">
        <v>871</v>
      </c>
      <c r="N41" s="2" t="s">
        <v>872</v>
      </c>
      <c r="O41" s="2" t="s">
        <v>734</v>
      </c>
      <c r="P41" s="5">
        <v>0</v>
      </c>
      <c r="Q41" s="5">
        <v>309</v>
      </c>
      <c r="R41" s="2">
        <v>1</v>
      </c>
      <c r="S41" s="2" t="s">
        <v>741</v>
      </c>
      <c r="T41" s="2">
        <v>1</v>
      </c>
      <c r="U41" s="5">
        <v>250</v>
      </c>
      <c r="V41" s="5">
        <v>15</v>
      </c>
      <c r="W41" s="2" t="s">
        <v>1</v>
      </c>
      <c r="X41" s="2" t="s">
        <v>723</v>
      </c>
      <c r="Y41" s="2" t="s">
        <v>724</v>
      </c>
      <c r="Z41" s="2" t="s">
        <v>1</v>
      </c>
      <c r="AA41" s="2" t="s">
        <v>1</v>
      </c>
      <c r="AB41" s="2" t="s">
        <v>1</v>
      </c>
      <c r="AC41" s="2" t="s">
        <v>1</v>
      </c>
      <c r="AD41" s="2" t="s">
        <v>1</v>
      </c>
      <c r="AE41" s="2" t="s">
        <v>1</v>
      </c>
      <c r="AF41" s="2" t="s">
        <v>873</v>
      </c>
      <c r="AG41" s="2" t="s">
        <v>101</v>
      </c>
      <c r="AH41" s="5">
        <v>0</v>
      </c>
      <c r="AI41" s="5">
        <v>265</v>
      </c>
      <c r="AJ41" s="5">
        <v>0</v>
      </c>
    </row>
    <row r="42" ht="17.5" customHeight="1" spans="1:36">
      <c r="A42" s="2" t="s">
        <v>874</v>
      </c>
      <c r="B42" s="2" t="s">
        <v>727</v>
      </c>
      <c r="C42" s="2" t="s">
        <v>192</v>
      </c>
      <c r="D42" s="2" t="s">
        <v>193</v>
      </c>
      <c r="E42" s="2" t="s">
        <v>194</v>
      </c>
      <c r="F42" s="9" t="str">
        <f>VLOOKUP(E42,'[1]202501入账'!$A:$F,5,0)</f>
        <v>数智平台中心</v>
      </c>
      <c r="G42" s="9" t="str">
        <f>VLOOKUP(E42,'[1]202501入账'!$A:$F,6,0)</f>
        <v>数据仓库组</v>
      </c>
      <c r="H42" s="2" t="s">
        <v>1</v>
      </c>
      <c r="I42" s="6">
        <v>45652.7784722222</v>
      </c>
      <c r="J42" s="3">
        <v>45652</v>
      </c>
      <c r="K42" s="3">
        <v>45653</v>
      </c>
      <c r="L42" s="2" t="s">
        <v>828</v>
      </c>
      <c r="M42" s="2" t="s">
        <v>844</v>
      </c>
      <c r="N42" s="2" t="s">
        <v>845</v>
      </c>
      <c r="O42" s="2" t="s">
        <v>875</v>
      </c>
      <c r="P42" s="5">
        <v>0</v>
      </c>
      <c r="Q42" s="5">
        <v>302</v>
      </c>
      <c r="R42" s="2">
        <v>1</v>
      </c>
      <c r="S42" s="2" t="s">
        <v>780</v>
      </c>
      <c r="T42" s="2">
        <v>1</v>
      </c>
      <c r="U42" s="5">
        <v>300</v>
      </c>
      <c r="V42" s="5">
        <v>18</v>
      </c>
      <c r="W42" s="2" t="s">
        <v>1</v>
      </c>
      <c r="X42" s="2" t="s">
        <v>723</v>
      </c>
      <c r="Y42" s="2" t="s">
        <v>724</v>
      </c>
      <c r="Z42" s="2" t="s">
        <v>1</v>
      </c>
      <c r="AA42" s="2" t="s">
        <v>1</v>
      </c>
      <c r="AB42" s="2" t="s">
        <v>1</v>
      </c>
      <c r="AC42" s="2" t="s">
        <v>1</v>
      </c>
      <c r="AD42" s="2" t="s">
        <v>1</v>
      </c>
      <c r="AE42" s="2" t="s">
        <v>1</v>
      </c>
      <c r="AF42" s="2" t="s">
        <v>876</v>
      </c>
      <c r="AG42" s="2" t="s">
        <v>101</v>
      </c>
      <c r="AH42" s="5">
        <v>0</v>
      </c>
      <c r="AI42" s="5">
        <v>318</v>
      </c>
      <c r="AJ42" s="5">
        <v>0</v>
      </c>
    </row>
    <row r="43" ht="17.5" customHeight="1" spans="1:36">
      <c r="A43" s="2" t="s">
        <v>877</v>
      </c>
      <c r="B43" s="2" t="s">
        <v>727</v>
      </c>
      <c r="C43" s="2" t="s">
        <v>192</v>
      </c>
      <c r="D43" s="2" t="s">
        <v>193</v>
      </c>
      <c r="E43" s="2" t="s">
        <v>193</v>
      </c>
      <c r="F43" s="9" t="str">
        <f>VLOOKUP(E43,'[1]202501入账'!$A:$F,5,0)</f>
        <v>运营支持中心</v>
      </c>
      <c r="G43" s="9" t="str">
        <f>VLOOKUP(E43,'[1]202501入账'!$A:$F,6,0)</f>
        <v>新零售服务一组</v>
      </c>
      <c r="H43" s="2" t="s">
        <v>1</v>
      </c>
      <c r="I43" s="6">
        <v>45652.7798611111</v>
      </c>
      <c r="J43" s="3">
        <v>45652</v>
      </c>
      <c r="K43" s="3">
        <v>45653</v>
      </c>
      <c r="L43" s="2" t="s">
        <v>828</v>
      </c>
      <c r="M43" s="2" t="s">
        <v>844</v>
      </c>
      <c r="N43" s="2" t="s">
        <v>845</v>
      </c>
      <c r="O43" s="2" t="s">
        <v>878</v>
      </c>
      <c r="P43" s="5">
        <v>0</v>
      </c>
      <c r="Q43" s="5">
        <v>282</v>
      </c>
      <c r="R43" s="2">
        <v>1</v>
      </c>
      <c r="S43" s="2" t="s">
        <v>780</v>
      </c>
      <c r="T43" s="2">
        <v>1</v>
      </c>
      <c r="U43" s="5">
        <v>282</v>
      </c>
      <c r="V43" s="5">
        <v>16.92</v>
      </c>
      <c r="W43" s="2" t="s">
        <v>1</v>
      </c>
      <c r="X43" s="2" t="s">
        <v>723</v>
      </c>
      <c r="Y43" s="2" t="s">
        <v>724</v>
      </c>
      <c r="Z43" s="2" t="s">
        <v>1</v>
      </c>
      <c r="AA43" s="2" t="s">
        <v>1</v>
      </c>
      <c r="AB43" s="2" t="s">
        <v>1</v>
      </c>
      <c r="AC43" s="2" t="s">
        <v>1</v>
      </c>
      <c r="AD43" s="2" t="s">
        <v>1</v>
      </c>
      <c r="AE43" s="2" t="s">
        <v>1</v>
      </c>
      <c r="AF43" s="2" t="s">
        <v>876</v>
      </c>
      <c r="AG43" s="2" t="s">
        <v>101</v>
      </c>
      <c r="AH43" s="5">
        <v>0</v>
      </c>
      <c r="AI43" s="5">
        <v>298.92</v>
      </c>
      <c r="AJ43" s="5">
        <v>0</v>
      </c>
    </row>
    <row r="44" ht="17.5" customHeight="1" spans="1:36">
      <c r="A44" s="2" t="s">
        <v>879</v>
      </c>
      <c r="B44" s="2" t="s">
        <v>727</v>
      </c>
      <c r="C44" s="2" t="s">
        <v>296</v>
      </c>
      <c r="D44" s="2" t="s">
        <v>297</v>
      </c>
      <c r="E44" s="2" t="s">
        <v>182</v>
      </c>
      <c r="F44" s="9" t="str">
        <f>VLOOKUP(E44,'[1]202501入账'!$A:$F,5,0)</f>
        <v>中心负责人</v>
      </c>
      <c r="G44" s="9" t="str">
        <f>VLOOKUP(E44,'[1]202501入账'!$A:$F,6,0)</f>
        <v/>
      </c>
      <c r="H44" s="2" t="s">
        <v>1</v>
      </c>
      <c r="I44" s="6">
        <v>45652.9361111111</v>
      </c>
      <c r="J44" s="3">
        <v>45653</v>
      </c>
      <c r="K44" s="3">
        <v>45654</v>
      </c>
      <c r="L44" s="2" t="s">
        <v>737</v>
      </c>
      <c r="M44" s="2" t="s">
        <v>738</v>
      </c>
      <c r="N44" s="2" t="s">
        <v>739</v>
      </c>
      <c r="O44" s="2" t="s">
        <v>880</v>
      </c>
      <c r="P44" s="5">
        <v>0</v>
      </c>
      <c r="Q44" s="5">
        <v>605</v>
      </c>
      <c r="R44" s="2">
        <v>1</v>
      </c>
      <c r="S44" s="2" t="s">
        <v>741</v>
      </c>
      <c r="T44" s="2">
        <v>1</v>
      </c>
      <c r="U44" s="5">
        <v>605</v>
      </c>
      <c r="V44" s="5">
        <v>0</v>
      </c>
      <c r="W44" s="2" t="s">
        <v>1</v>
      </c>
      <c r="X44" s="2" t="s">
        <v>723</v>
      </c>
      <c r="Y44" s="2" t="s">
        <v>724</v>
      </c>
      <c r="Z44" s="2" t="s">
        <v>1</v>
      </c>
      <c r="AA44" s="2" t="s">
        <v>1</v>
      </c>
      <c r="AB44" s="2" t="s">
        <v>1</v>
      </c>
      <c r="AC44" s="2" t="s">
        <v>1</v>
      </c>
      <c r="AD44" s="2" t="s">
        <v>1</v>
      </c>
      <c r="AE44" s="2" t="s">
        <v>1</v>
      </c>
      <c r="AF44" s="2" t="s">
        <v>1</v>
      </c>
      <c r="AG44" s="2" t="s">
        <v>101</v>
      </c>
      <c r="AH44" s="5">
        <v>0</v>
      </c>
      <c r="AI44" s="5">
        <v>605</v>
      </c>
      <c r="AJ44" s="5">
        <v>0</v>
      </c>
    </row>
    <row r="45" ht="17.5" customHeight="1" spans="1:36">
      <c r="A45" s="2" t="s">
        <v>881</v>
      </c>
      <c r="B45" s="2" t="s">
        <v>727</v>
      </c>
      <c r="C45" s="2" t="s">
        <v>882</v>
      </c>
      <c r="D45" s="2" t="s">
        <v>883</v>
      </c>
      <c r="E45" s="2" t="s">
        <v>883</v>
      </c>
      <c r="F45" s="9" t="str">
        <f>VLOOKUP(E45,'[1]202501入账'!$A:$F,5,0)</f>
        <v>生态运营中心</v>
      </c>
      <c r="G45" s="9" t="str">
        <f>VLOOKUP(E45,'[1]202501入账'!$A:$F,6,0)</f>
        <v>KA运营组</v>
      </c>
      <c r="H45" s="2" t="s">
        <v>1</v>
      </c>
      <c r="I45" s="6">
        <v>45653.03125</v>
      </c>
      <c r="J45" s="3">
        <v>45653</v>
      </c>
      <c r="K45" s="3">
        <v>45654</v>
      </c>
      <c r="L45" s="2" t="s">
        <v>884</v>
      </c>
      <c r="M45" s="2" t="s">
        <v>885</v>
      </c>
      <c r="N45" s="2" t="s">
        <v>886</v>
      </c>
      <c r="O45" s="2" t="s">
        <v>749</v>
      </c>
      <c r="P45" s="5">
        <v>0</v>
      </c>
      <c r="Q45" s="5">
        <v>304</v>
      </c>
      <c r="R45" s="2">
        <v>1</v>
      </c>
      <c r="S45" s="2" t="s">
        <v>741</v>
      </c>
      <c r="T45" s="2">
        <v>1</v>
      </c>
      <c r="U45" s="5">
        <v>300</v>
      </c>
      <c r="V45" s="5">
        <v>0</v>
      </c>
      <c r="W45" s="2" t="s">
        <v>1</v>
      </c>
      <c r="X45" s="2" t="s">
        <v>723</v>
      </c>
      <c r="Y45" s="2" t="s">
        <v>724</v>
      </c>
      <c r="Z45" s="2" t="s">
        <v>1</v>
      </c>
      <c r="AA45" s="2" t="s">
        <v>1</v>
      </c>
      <c r="AB45" s="2" t="s">
        <v>1</v>
      </c>
      <c r="AC45" s="2" t="s">
        <v>1</v>
      </c>
      <c r="AD45" s="2" t="s">
        <v>1</v>
      </c>
      <c r="AE45" s="2" t="s">
        <v>1</v>
      </c>
      <c r="AF45" s="2" t="s">
        <v>887</v>
      </c>
      <c r="AG45" s="2" t="s">
        <v>101</v>
      </c>
      <c r="AH45" s="5">
        <v>0</v>
      </c>
      <c r="AI45" s="5">
        <v>300</v>
      </c>
      <c r="AJ45" s="5">
        <v>0</v>
      </c>
    </row>
    <row r="46" ht="17.5" customHeight="1" spans="1:36">
      <c r="A46" s="2" t="s">
        <v>888</v>
      </c>
      <c r="B46" s="2" t="s">
        <v>727</v>
      </c>
      <c r="C46" s="2" t="s">
        <v>148</v>
      </c>
      <c r="D46" s="2" t="s">
        <v>149</v>
      </c>
      <c r="E46" s="2" t="s">
        <v>150</v>
      </c>
      <c r="F46" s="9" t="e">
        <f>VLOOKUP(E46,'[1]202501入账'!$A:$F,5,0)</f>
        <v>#N/A</v>
      </c>
      <c r="G46" s="9" t="e">
        <f>VLOOKUP(E46,'[1]202501入账'!$A:$F,6,0)</f>
        <v>#N/A</v>
      </c>
      <c r="H46" s="2" t="s">
        <v>1</v>
      </c>
      <c r="I46" s="6">
        <v>45653.4819444444</v>
      </c>
      <c r="J46" s="3">
        <v>45671</v>
      </c>
      <c r="K46" s="3">
        <v>45673</v>
      </c>
      <c r="L46" s="2" t="s">
        <v>770</v>
      </c>
      <c r="M46" s="2" t="s">
        <v>889</v>
      </c>
      <c r="N46" s="2" t="s">
        <v>890</v>
      </c>
      <c r="O46" s="2" t="s">
        <v>891</v>
      </c>
      <c r="P46" s="5">
        <v>0</v>
      </c>
      <c r="Q46" s="5">
        <v>629</v>
      </c>
      <c r="R46" s="2">
        <v>1</v>
      </c>
      <c r="S46" s="2" t="s">
        <v>780</v>
      </c>
      <c r="T46" s="2">
        <v>2</v>
      </c>
      <c r="U46" s="5">
        <v>1258</v>
      </c>
      <c r="V46" s="5">
        <v>0</v>
      </c>
      <c r="W46" s="2" t="s">
        <v>1</v>
      </c>
      <c r="X46" s="2" t="s">
        <v>723</v>
      </c>
      <c r="Y46" s="2" t="s">
        <v>724</v>
      </c>
      <c r="Z46" s="2" t="s">
        <v>1</v>
      </c>
      <c r="AA46" s="2" t="s">
        <v>1</v>
      </c>
      <c r="AB46" s="2" t="s">
        <v>1</v>
      </c>
      <c r="AC46" s="2" t="s">
        <v>1</v>
      </c>
      <c r="AD46" s="2" t="s">
        <v>1</v>
      </c>
      <c r="AE46" s="2" t="s">
        <v>1</v>
      </c>
      <c r="AF46" s="2" t="s">
        <v>1</v>
      </c>
      <c r="AG46" s="2" t="s">
        <v>101</v>
      </c>
      <c r="AH46" s="5">
        <v>0</v>
      </c>
      <c r="AI46" s="5">
        <v>1258</v>
      </c>
      <c r="AJ46" s="5">
        <v>0</v>
      </c>
    </row>
    <row r="47" ht="17.5" customHeight="1" spans="1:36">
      <c r="A47" s="2" t="s">
        <v>892</v>
      </c>
      <c r="B47" s="2" t="s">
        <v>727</v>
      </c>
      <c r="C47" s="2" t="s">
        <v>834</v>
      </c>
      <c r="D47" s="2" t="s">
        <v>835</v>
      </c>
      <c r="E47" s="2" t="s">
        <v>835</v>
      </c>
      <c r="F47" s="9" t="str">
        <f>VLOOKUP(E47,'[1]202501入账'!$A:$F,5,0)</f>
        <v>KA销售中心</v>
      </c>
      <c r="G47" s="9" t="str">
        <f>VLOOKUP(E47,'[1]202501入账'!$A:$F,6,0)</f>
        <v>渠道合作组-西南区</v>
      </c>
      <c r="H47" s="2" t="s">
        <v>1</v>
      </c>
      <c r="I47" s="6">
        <v>45653.5173611111</v>
      </c>
      <c r="J47" s="3">
        <v>45653</v>
      </c>
      <c r="K47" s="3">
        <v>45654</v>
      </c>
      <c r="L47" s="2" t="s">
        <v>854</v>
      </c>
      <c r="M47" s="2" t="s">
        <v>855</v>
      </c>
      <c r="N47" s="2" t="s">
        <v>856</v>
      </c>
      <c r="O47" s="2" t="s">
        <v>734</v>
      </c>
      <c r="P47" s="5">
        <v>0</v>
      </c>
      <c r="Q47" s="5">
        <v>300</v>
      </c>
      <c r="R47" s="2">
        <v>1</v>
      </c>
      <c r="S47" s="2" t="s">
        <v>741</v>
      </c>
      <c r="T47" s="2">
        <v>1</v>
      </c>
      <c r="U47" s="5">
        <v>300</v>
      </c>
      <c r="V47" s="5">
        <v>0</v>
      </c>
      <c r="W47" s="2" t="s">
        <v>1</v>
      </c>
      <c r="X47" s="2" t="s">
        <v>723</v>
      </c>
      <c r="Y47" s="2" t="s">
        <v>724</v>
      </c>
      <c r="Z47" s="2" t="s">
        <v>1</v>
      </c>
      <c r="AA47" s="2" t="s">
        <v>1</v>
      </c>
      <c r="AB47" s="2" t="s">
        <v>1</v>
      </c>
      <c r="AC47" s="2" t="s">
        <v>1</v>
      </c>
      <c r="AD47" s="2" t="s">
        <v>1</v>
      </c>
      <c r="AE47" s="2" t="s">
        <v>1</v>
      </c>
      <c r="AF47" s="2" t="s">
        <v>893</v>
      </c>
      <c r="AG47" s="2" t="s">
        <v>101</v>
      </c>
      <c r="AH47" s="5">
        <v>0</v>
      </c>
      <c r="AI47" s="5">
        <v>300</v>
      </c>
      <c r="AJ47" s="5">
        <v>0</v>
      </c>
    </row>
    <row r="48" ht="17.5" customHeight="1" spans="1:36">
      <c r="A48" s="2" t="s">
        <v>894</v>
      </c>
      <c r="B48" s="2" t="s">
        <v>727</v>
      </c>
      <c r="C48" s="2" t="s">
        <v>243</v>
      </c>
      <c r="D48" s="2" t="s">
        <v>244</v>
      </c>
      <c r="E48" s="2" t="s">
        <v>244</v>
      </c>
      <c r="F48" s="9" t="str">
        <f>VLOOKUP(E48,'[1]202501入账'!$A:$F,5,0)</f>
        <v>KA销售中心</v>
      </c>
      <c r="G48" s="9" t="str">
        <f>VLOOKUP(E48,'[1]202501入账'!$A:$F,6,0)</f>
        <v>渠道合作组-西南区</v>
      </c>
      <c r="H48" s="2" t="s">
        <v>1</v>
      </c>
      <c r="I48" s="6">
        <v>45653.5277777778</v>
      </c>
      <c r="J48" s="3">
        <v>45653</v>
      </c>
      <c r="K48" s="3">
        <v>45655</v>
      </c>
      <c r="L48" s="2" t="s">
        <v>895</v>
      </c>
      <c r="M48" s="2" t="s">
        <v>896</v>
      </c>
      <c r="N48" s="2" t="s">
        <v>897</v>
      </c>
      <c r="O48" s="2" t="s">
        <v>758</v>
      </c>
      <c r="P48" s="5">
        <v>0</v>
      </c>
      <c r="Q48" s="5">
        <v>323</v>
      </c>
      <c r="R48" s="2">
        <v>1</v>
      </c>
      <c r="S48" s="2" t="s">
        <v>741</v>
      </c>
      <c r="T48" s="2">
        <v>2</v>
      </c>
      <c r="U48" s="5">
        <v>600</v>
      </c>
      <c r="V48" s="5">
        <v>0</v>
      </c>
      <c r="W48" s="2" t="s">
        <v>1</v>
      </c>
      <c r="X48" s="2" t="s">
        <v>723</v>
      </c>
      <c r="Y48" s="2" t="s">
        <v>724</v>
      </c>
      <c r="Z48" s="2" t="s">
        <v>1</v>
      </c>
      <c r="AA48" s="2" t="s">
        <v>1</v>
      </c>
      <c r="AB48" s="2" t="s">
        <v>1</v>
      </c>
      <c r="AC48" s="2" t="s">
        <v>1</v>
      </c>
      <c r="AD48" s="2" t="s">
        <v>1</v>
      </c>
      <c r="AE48" s="2" t="s">
        <v>1</v>
      </c>
      <c r="AF48" s="2" t="s">
        <v>898</v>
      </c>
      <c r="AG48" s="2" t="s">
        <v>101</v>
      </c>
      <c r="AH48" s="5">
        <v>0</v>
      </c>
      <c r="AI48" s="5">
        <v>600</v>
      </c>
      <c r="AJ48" s="5">
        <v>0</v>
      </c>
    </row>
    <row r="49" ht="17.5" customHeight="1" spans="1:36">
      <c r="A49" s="2" t="s">
        <v>899</v>
      </c>
      <c r="B49" s="2" t="s">
        <v>727</v>
      </c>
      <c r="C49" s="2" t="s">
        <v>148</v>
      </c>
      <c r="D49" s="2" t="s">
        <v>149</v>
      </c>
      <c r="E49" s="2" t="s">
        <v>900</v>
      </c>
      <c r="F49" s="9" t="e">
        <f>VLOOKUP(E49,'[1]202501入账'!$A:$F,5,0)</f>
        <v>#N/A</v>
      </c>
      <c r="G49" s="9" t="e">
        <f>VLOOKUP(E49,'[1]202501入账'!$A:$F,6,0)</f>
        <v>#N/A</v>
      </c>
      <c r="H49" s="2" t="s">
        <v>1</v>
      </c>
      <c r="I49" s="6">
        <v>45653.6590277778</v>
      </c>
      <c r="J49" s="3">
        <v>45656</v>
      </c>
      <c r="K49" s="3">
        <v>45657</v>
      </c>
      <c r="L49" s="2" t="s">
        <v>818</v>
      </c>
      <c r="M49" s="2" t="s">
        <v>901</v>
      </c>
      <c r="N49" s="2" t="s">
        <v>902</v>
      </c>
      <c r="O49" s="2" t="s">
        <v>903</v>
      </c>
      <c r="P49" s="5">
        <v>0</v>
      </c>
      <c r="Q49" s="5">
        <v>995</v>
      </c>
      <c r="R49" s="2">
        <v>2</v>
      </c>
      <c r="S49" s="2" t="s">
        <v>822</v>
      </c>
      <c r="T49" s="2">
        <v>2</v>
      </c>
      <c r="U49" s="5">
        <v>1990</v>
      </c>
      <c r="V49" s="5">
        <v>0</v>
      </c>
      <c r="W49" s="2" t="s">
        <v>1</v>
      </c>
      <c r="X49" s="2" t="s">
        <v>723</v>
      </c>
      <c r="Y49" s="2" t="s">
        <v>724</v>
      </c>
      <c r="Z49" s="2" t="s">
        <v>1</v>
      </c>
      <c r="AA49" s="2" t="s">
        <v>1</v>
      </c>
      <c r="AB49" s="2" t="s">
        <v>1</v>
      </c>
      <c r="AC49" s="2" t="s">
        <v>1</v>
      </c>
      <c r="AD49" s="2" t="s">
        <v>1</v>
      </c>
      <c r="AE49" s="2" t="s">
        <v>1</v>
      </c>
      <c r="AF49" s="2" t="s">
        <v>1</v>
      </c>
      <c r="AG49" s="2" t="s">
        <v>101</v>
      </c>
      <c r="AH49" s="5">
        <v>0</v>
      </c>
      <c r="AI49" s="5">
        <v>1990</v>
      </c>
      <c r="AJ49" s="5">
        <v>0</v>
      </c>
    </row>
    <row r="50" ht="17.5" customHeight="1" spans="1:36">
      <c r="A50" s="2" t="s">
        <v>904</v>
      </c>
      <c r="B50" s="2" t="s">
        <v>727</v>
      </c>
      <c r="C50" s="2" t="s">
        <v>148</v>
      </c>
      <c r="D50" s="2" t="s">
        <v>149</v>
      </c>
      <c r="E50" s="2" t="s">
        <v>905</v>
      </c>
      <c r="F50" s="9" t="str">
        <f>VLOOKUP(E50,'[1]202501入账'!$A:$F,5,0)</f>
        <v>中心负责人</v>
      </c>
      <c r="G50" s="9" t="str">
        <f>VLOOKUP(E50,'[1]202501入账'!$A:$F,6,0)</f>
        <v/>
      </c>
      <c r="H50" s="2" t="s">
        <v>1</v>
      </c>
      <c r="I50" s="6">
        <v>45653.6611111111</v>
      </c>
      <c r="J50" s="3">
        <v>45656</v>
      </c>
      <c r="K50" s="3">
        <v>45657</v>
      </c>
      <c r="L50" s="2" t="s">
        <v>818</v>
      </c>
      <c r="M50" s="2" t="s">
        <v>901</v>
      </c>
      <c r="N50" s="2" t="s">
        <v>902</v>
      </c>
      <c r="O50" s="2" t="s">
        <v>906</v>
      </c>
      <c r="P50" s="5">
        <v>0</v>
      </c>
      <c r="Q50" s="5">
        <v>1194</v>
      </c>
      <c r="R50" s="2">
        <v>1</v>
      </c>
      <c r="S50" s="2" t="s">
        <v>822</v>
      </c>
      <c r="T50" s="2">
        <v>1</v>
      </c>
      <c r="U50" s="5">
        <v>1194</v>
      </c>
      <c r="V50" s="5">
        <v>0</v>
      </c>
      <c r="W50" s="2" t="s">
        <v>1</v>
      </c>
      <c r="X50" s="2" t="s">
        <v>723</v>
      </c>
      <c r="Y50" s="2" t="s">
        <v>724</v>
      </c>
      <c r="Z50" s="2" t="s">
        <v>1</v>
      </c>
      <c r="AA50" s="2" t="s">
        <v>1</v>
      </c>
      <c r="AB50" s="2" t="s">
        <v>1</v>
      </c>
      <c r="AC50" s="2" t="s">
        <v>1</v>
      </c>
      <c r="AD50" s="2" t="s">
        <v>1</v>
      </c>
      <c r="AE50" s="2" t="s">
        <v>1</v>
      </c>
      <c r="AF50" s="2" t="s">
        <v>1</v>
      </c>
      <c r="AG50" s="2" t="s">
        <v>101</v>
      </c>
      <c r="AH50" s="5">
        <v>0</v>
      </c>
      <c r="AI50" s="5">
        <v>1194</v>
      </c>
      <c r="AJ50" s="5">
        <v>0</v>
      </c>
    </row>
    <row r="51" ht="17.5" customHeight="1" spans="1:36">
      <c r="A51" s="2" t="s">
        <v>907</v>
      </c>
      <c r="B51" s="2" t="s">
        <v>727</v>
      </c>
      <c r="C51" s="2" t="s">
        <v>122</v>
      </c>
      <c r="D51" s="2" t="s">
        <v>123</v>
      </c>
      <c r="E51" s="2" t="s">
        <v>123</v>
      </c>
      <c r="F51" s="9" t="str">
        <f>VLOOKUP(E51,'[1]202501入账'!$A:$F,5,0)</f>
        <v>电商产品中心</v>
      </c>
      <c r="G51" s="9" t="str">
        <f>VLOOKUP(E51,'[1]202501入账'!$A:$F,6,0)</f>
        <v>电商产品组</v>
      </c>
      <c r="H51" s="2" t="s">
        <v>1</v>
      </c>
      <c r="I51" s="6">
        <v>45653.7395833333</v>
      </c>
      <c r="J51" s="3">
        <v>45653</v>
      </c>
      <c r="K51" s="3">
        <v>45654</v>
      </c>
      <c r="L51" s="2" t="s">
        <v>828</v>
      </c>
      <c r="M51" s="2" t="s">
        <v>844</v>
      </c>
      <c r="N51" s="2" t="s">
        <v>845</v>
      </c>
      <c r="O51" s="2" t="s">
        <v>908</v>
      </c>
      <c r="P51" s="5">
        <v>0</v>
      </c>
      <c r="Q51" s="5">
        <v>194</v>
      </c>
      <c r="R51" s="2">
        <v>1</v>
      </c>
      <c r="S51" s="2" t="s">
        <v>780</v>
      </c>
      <c r="T51" s="2">
        <v>1</v>
      </c>
      <c r="U51" s="5">
        <v>194</v>
      </c>
      <c r="V51" s="5">
        <v>11.64</v>
      </c>
      <c r="W51" s="2" t="s">
        <v>1</v>
      </c>
      <c r="X51" s="2" t="s">
        <v>723</v>
      </c>
      <c r="Y51" s="2" t="s">
        <v>724</v>
      </c>
      <c r="Z51" s="2" t="s">
        <v>1</v>
      </c>
      <c r="AA51" s="2" t="s">
        <v>1</v>
      </c>
      <c r="AB51" s="2" t="s">
        <v>1</v>
      </c>
      <c r="AC51" s="2" t="s">
        <v>1</v>
      </c>
      <c r="AD51" s="2" t="s">
        <v>1</v>
      </c>
      <c r="AE51" s="2" t="s">
        <v>1</v>
      </c>
      <c r="AF51" s="2" t="s">
        <v>909</v>
      </c>
      <c r="AG51" s="2" t="s">
        <v>101</v>
      </c>
      <c r="AH51" s="5">
        <v>0</v>
      </c>
      <c r="AI51" s="5">
        <v>205.64</v>
      </c>
      <c r="AJ51" s="5">
        <v>0</v>
      </c>
    </row>
    <row r="52" ht="17.5" customHeight="1" spans="1:36">
      <c r="A52" s="2" t="s">
        <v>910</v>
      </c>
      <c r="B52" s="2" t="s">
        <v>727</v>
      </c>
      <c r="C52" s="2" t="s">
        <v>129</v>
      </c>
      <c r="D52" s="2" t="s">
        <v>130</v>
      </c>
      <c r="E52" s="2" t="s">
        <v>130</v>
      </c>
      <c r="F52" s="9" t="str">
        <f>VLOOKUP(E52,'[1]202501入账'!$A:$F,5,0)</f>
        <v>直播产品中心</v>
      </c>
      <c r="G52" s="9" t="str">
        <f>VLOOKUP(E52,'[1]202501入账'!$A:$F,6,0)</f>
        <v>后台二组</v>
      </c>
      <c r="H52" s="2" t="s">
        <v>1</v>
      </c>
      <c r="I52" s="6">
        <v>45653.7576388889</v>
      </c>
      <c r="J52" s="3">
        <v>45653</v>
      </c>
      <c r="K52" s="3">
        <v>45654</v>
      </c>
      <c r="L52" s="2" t="s">
        <v>828</v>
      </c>
      <c r="M52" s="2" t="s">
        <v>844</v>
      </c>
      <c r="N52" s="2" t="s">
        <v>845</v>
      </c>
      <c r="O52" s="2" t="s">
        <v>911</v>
      </c>
      <c r="P52" s="5">
        <v>0</v>
      </c>
      <c r="Q52" s="5">
        <v>241</v>
      </c>
      <c r="R52" s="2">
        <v>1</v>
      </c>
      <c r="S52" s="2" t="s">
        <v>780</v>
      </c>
      <c r="T52" s="2">
        <v>1</v>
      </c>
      <c r="U52" s="5">
        <v>241</v>
      </c>
      <c r="V52" s="5">
        <v>14.46</v>
      </c>
      <c r="W52" s="2" t="s">
        <v>1</v>
      </c>
      <c r="X52" s="2" t="s">
        <v>723</v>
      </c>
      <c r="Y52" s="2" t="s">
        <v>724</v>
      </c>
      <c r="Z52" s="2" t="s">
        <v>1</v>
      </c>
      <c r="AA52" s="2" t="s">
        <v>1</v>
      </c>
      <c r="AB52" s="2" t="s">
        <v>1</v>
      </c>
      <c r="AC52" s="2" t="s">
        <v>1</v>
      </c>
      <c r="AD52" s="2" t="s">
        <v>1</v>
      </c>
      <c r="AE52" s="2" t="s">
        <v>1</v>
      </c>
      <c r="AF52" s="2" t="s">
        <v>912</v>
      </c>
      <c r="AG52" s="2" t="s">
        <v>101</v>
      </c>
      <c r="AH52" s="5">
        <v>0</v>
      </c>
      <c r="AI52" s="5">
        <v>255.46</v>
      </c>
      <c r="AJ52" s="5">
        <v>0</v>
      </c>
    </row>
    <row r="53" ht="17.5" customHeight="1" spans="1:36">
      <c r="A53" s="2" t="s">
        <v>913</v>
      </c>
      <c r="B53" s="2" t="s">
        <v>727</v>
      </c>
      <c r="C53" s="2" t="s">
        <v>282</v>
      </c>
      <c r="D53" s="2" t="s">
        <v>283</v>
      </c>
      <c r="E53" s="2" t="s">
        <v>283</v>
      </c>
      <c r="F53" s="9" t="str">
        <f>VLOOKUP(E53,'[1]202501入账'!$A:$F,5,0)</f>
        <v>KA销售中心</v>
      </c>
      <c r="G53" s="9" t="str">
        <f>VLOOKUP(E53,'[1]202501入账'!$A:$F,6,0)</f>
        <v>渠道合作组-华北区</v>
      </c>
      <c r="H53" s="2" t="s">
        <v>1</v>
      </c>
      <c r="I53" s="6">
        <v>45653.7604166667</v>
      </c>
      <c r="J53" s="3">
        <v>45653</v>
      </c>
      <c r="K53" s="3">
        <v>45654</v>
      </c>
      <c r="L53" s="2" t="s">
        <v>752</v>
      </c>
      <c r="M53" s="2" t="s">
        <v>914</v>
      </c>
      <c r="N53" s="2" t="s">
        <v>915</v>
      </c>
      <c r="O53" s="2" t="s">
        <v>749</v>
      </c>
      <c r="P53" s="5">
        <v>0</v>
      </c>
      <c r="Q53" s="5">
        <v>257</v>
      </c>
      <c r="R53" s="2">
        <v>1</v>
      </c>
      <c r="S53" s="2" t="s">
        <v>722</v>
      </c>
      <c r="T53" s="2">
        <v>1</v>
      </c>
      <c r="U53" s="5">
        <v>250</v>
      </c>
      <c r="V53" s="5">
        <v>15</v>
      </c>
      <c r="W53" s="2" t="s">
        <v>1</v>
      </c>
      <c r="X53" s="2" t="s">
        <v>723</v>
      </c>
      <c r="Y53" s="2" t="s">
        <v>724</v>
      </c>
      <c r="Z53" s="2" t="s">
        <v>1</v>
      </c>
      <c r="AA53" s="2" t="s">
        <v>1</v>
      </c>
      <c r="AB53" s="2" t="s">
        <v>1</v>
      </c>
      <c r="AC53" s="2" t="s">
        <v>1</v>
      </c>
      <c r="AD53" s="2" t="s">
        <v>1</v>
      </c>
      <c r="AE53" s="2" t="s">
        <v>1</v>
      </c>
      <c r="AF53" s="2" t="s">
        <v>756</v>
      </c>
      <c r="AG53" s="2" t="s">
        <v>101</v>
      </c>
      <c r="AH53" s="5">
        <v>0</v>
      </c>
      <c r="AI53" s="5">
        <v>265</v>
      </c>
      <c r="AJ53" s="5">
        <v>0</v>
      </c>
    </row>
    <row r="54" ht="17.5" customHeight="1" spans="1:36">
      <c r="A54" s="2" t="s">
        <v>916</v>
      </c>
      <c r="B54" s="2" t="s">
        <v>727</v>
      </c>
      <c r="C54" s="2" t="s">
        <v>134</v>
      </c>
      <c r="D54" s="2" t="s">
        <v>135</v>
      </c>
      <c r="E54" s="2" t="s">
        <v>135</v>
      </c>
      <c r="F54" s="9" t="str">
        <f>VLOOKUP(E54,'[1]202501入账'!$A:$F,5,0)</f>
        <v>中心负责人</v>
      </c>
      <c r="G54" s="9" t="str">
        <f>VLOOKUP(E54,'[1]202501入账'!$A:$F,6,0)</f>
        <v/>
      </c>
      <c r="H54" s="2" t="s">
        <v>1</v>
      </c>
      <c r="I54" s="6">
        <v>45653.7715277778</v>
      </c>
      <c r="J54" s="3">
        <v>45653</v>
      </c>
      <c r="K54" s="3">
        <v>45654</v>
      </c>
      <c r="L54" s="2" t="s">
        <v>828</v>
      </c>
      <c r="M54" s="2" t="s">
        <v>844</v>
      </c>
      <c r="N54" s="2" t="s">
        <v>845</v>
      </c>
      <c r="O54" s="2" t="s">
        <v>878</v>
      </c>
      <c r="P54" s="5">
        <v>0</v>
      </c>
      <c r="Q54" s="5">
        <v>290</v>
      </c>
      <c r="R54" s="2">
        <v>1</v>
      </c>
      <c r="S54" s="2" t="s">
        <v>780</v>
      </c>
      <c r="T54" s="2">
        <v>1</v>
      </c>
      <c r="U54" s="5">
        <v>290</v>
      </c>
      <c r="V54" s="5">
        <v>17.4</v>
      </c>
      <c r="W54" s="2" t="s">
        <v>1</v>
      </c>
      <c r="X54" s="2" t="s">
        <v>723</v>
      </c>
      <c r="Y54" s="2" t="s">
        <v>724</v>
      </c>
      <c r="Z54" s="2" t="s">
        <v>1</v>
      </c>
      <c r="AA54" s="2" t="s">
        <v>1</v>
      </c>
      <c r="AB54" s="2" t="s">
        <v>1</v>
      </c>
      <c r="AC54" s="2" t="s">
        <v>1</v>
      </c>
      <c r="AD54" s="2" t="s">
        <v>1</v>
      </c>
      <c r="AE54" s="2" t="s">
        <v>1</v>
      </c>
      <c r="AF54" s="2" t="s">
        <v>917</v>
      </c>
      <c r="AG54" s="2" t="s">
        <v>101</v>
      </c>
      <c r="AH54" s="5">
        <v>0</v>
      </c>
      <c r="AI54" s="5">
        <v>307.4</v>
      </c>
      <c r="AJ54" s="5">
        <v>0</v>
      </c>
    </row>
    <row r="55" ht="17.5" customHeight="1" spans="1:36">
      <c r="A55" s="2" t="s">
        <v>918</v>
      </c>
      <c r="B55" s="2" t="s">
        <v>727</v>
      </c>
      <c r="C55" s="2" t="s">
        <v>919</v>
      </c>
      <c r="D55" s="2" t="s">
        <v>920</v>
      </c>
      <c r="E55" s="2" t="s">
        <v>920</v>
      </c>
      <c r="F55" s="9" t="str">
        <f>VLOOKUP(E55,'[1]202501入账'!$A:$F,5,0)</f>
        <v>KA销售中心</v>
      </c>
      <c r="G55" s="9" t="str">
        <f>VLOOKUP(E55,'[1]202501入账'!$A:$F,6,0)</f>
        <v>KA销售组</v>
      </c>
      <c r="H55" s="2" t="s">
        <v>1</v>
      </c>
      <c r="I55" s="6">
        <v>45654.3659722222</v>
      </c>
      <c r="J55" s="3">
        <v>45654</v>
      </c>
      <c r="K55" s="3">
        <v>45655</v>
      </c>
      <c r="L55" s="2" t="s">
        <v>752</v>
      </c>
      <c r="M55" s="2" t="s">
        <v>921</v>
      </c>
      <c r="N55" s="2" t="s">
        <v>922</v>
      </c>
      <c r="O55" s="2" t="s">
        <v>923</v>
      </c>
      <c r="P55" s="5">
        <v>0</v>
      </c>
      <c r="Q55" s="5">
        <v>255</v>
      </c>
      <c r="R55" s="2">
        <v>1</v>
      </c>
      <c r="S55" s="2" t="s">
        <v>722</v>
      </c>
      <c r="T55" s="2">
        <v>1</v>
      </c>
      <c r="U55" s="5">
        <v>250</v>
      </c>
      <c r="V55" s="5">
        <v>15</v>
      </c>
      <c r="W55" s="2" t="s">
        <v>1</v>
      </c>
      <c r="X55" s="2" t="s">
        <v>723</v>
      </c>
      <c r="Y55" s="2" t="s">
        <v>724</v>
      </c>
      <c r="Z55" s="2" t="s">
        <v>1</v>
      </c>
      <c r="AA55" s="2" t="s">
        <v>1</v>
      </c>
      <c r="AB55" s="2" t="s">
        <v>1</v>
      </c>
      <c r="AC55" s="2" t="s">
        <v>1</v>
      </c>
      <c r="AD55" s="2" t="s">
        <v>1</v>
      </c>
      <c r="AE55" s="2" t="s">
        <v>1</v>
      </c>
      <c r="AF55" s="2" t="s">
        <v>924</v>
      </c>
      <c r="AG55" s="2" t="s">
        <v>101</v>
      </c>
      <c r="AH55" s="5">
        <v>0</v>
      </c>
      <c r="AI55" s="5">
        <v>265</v>
      </c>
      <c r="AJ55" s="5">
        <v>0</v>
      </c>
    </row>
    <row r="56" ht="17.5" customHeight="1" spans="1:36">
      <c r="A56" s="2" t="s">
        <v>925</v>
      </c>
      <c r="B56" s="2" t="s">
        <v>727</v>
      </c>
      <c r="C56" s="2" t="s">
        <v>674</v>
      </c>
      <c r="D56" s="2" t="s">
        <v>675</v>
      </c>
      <c r="E56" s="2" t="s">
        <v>675</v>
      </c>
      <c r="F56" s="9" t="str">
        <f>VLOOKUP(E56,'[1]202501入账'!$A:$F,5,0)</f>
        <v>KA销售中心</v>
      </c>
      <c r="G56" s="9" t="str">
        <f>VLOOKUP(E56,'[1]202501入账'!$A:$F,6,0)</f>
        <v>渠道合作组-西南区</v>
      </c>
      <c r="H56" s="2" t="s">
        <v>1</v>
      </c>
      <c r="I56" s="6">
        <v>45654.4777777778</v>
      </c>
      <c r="J56" s="3">
        <v>45654</v>
      </c>
      <c r="K56" s="3">
        <v>45657</v>
      </c>
      <c r="L56" s="2" t="s">
        <v>828</v>
      </c>
      <c r="M56" s="2" t="s">
        <v>844</v>
      </c>
      <c r="N56" s="2" t="s">
        <v>845</v>
      </c>
      <c r="O56" s="2" t="s">
        <v>878</v>
      </c>
      <c r="P56" s="5">
        <v>0</v>
      </c>
      <c r="Q56" s="5">
        <v>286</v>
      </c>
      <c r="R56" s="2">
        <v>1</v>
      </c>
      <c r="S56" s="2" t="s">
        <v>780</v>
      </c>
      <c r="T56" s="2">
        <v>3</v>
      </c>
      <c r="U56" s="5">
        <v>858</v>
      </c>
      <c r="V56" s="5">
        <v>51.48</v>
      </c>
      <c r="W56" s="2" t="s">
        <v>1</v>
      </c>
      <c r="X56" s="2" t="s">
        <v>723</v>
      </c>
      <c r="Y56" s="2" t="s">
        <v>724</v>
      </c>
      <c r="Z56" s="2" t="s">
        <v>1</v>
      </c>
      <c r="AA56" s="2" t="s">
        <v>1</v>
      </c>
      <c r="AB56" s="2" t="s">
        <v>1</v>
      </c>
      <c r="AC56" s="2" t="s">
        <v>1</v>
      </c>
      <c r="AD56" s="2" t="s">
        <v>1</v>
      </c>
      <c r="AE56" s="2" t="s">
        <v>1</v>
      </c>
      <c r="AF56" s="2" t="s">
        <v>926</v>
      </c>
      <c r="AG56" s="2" t="s">
        <v>101</v>
      </c>
      <c r="AH56" s="5">
        <v>0</v>
      </c>
      <c r="AI56" s="5">
        <v>909.48</v>
      </c>
      <c r="AJ56" s="5">
        <v>0</v>
      </c>
    </row>
    <row r="57" ht="17.5" customHeight="1" spans="1:36">
      <c r="A57" s="2" t="s">
        <v>927</v>
      </c>
      <c r="B57" s="2" t="s">
        <v>727</v>
      </c>
      <c r="C57" s="2" t="s">
        <v>282</v>
      </c>
      <c r="D57" s="2" t="s">
        <v>283</v>
      </c>
      <c r="E57" s="2" t="s">
        <v>283</v>
      </c>
      <c r="F57" s="9" t="str">
        <f>VLOOKUP(E57,'[1]202501入账'!$A:$F,5,0)</f>
        <v>KA销售中心</v>
      </c>
      <c r="G57" s="9" t="str">
        <f>VLOOKUP(E57,'[1]202501入账'!$A:$F,6,0)</f>
        <v>渠道合作组-华北区</v>
      </c>
      <c r="H57" s="2" t="s">
        <v>1</v>
      </c>
      <c r="I57" s="6">
        <v>45654.4923611111</v>
      </c>
      <c r="J57" s="3">
        <v>45654</v>
      </c>
      <c r="K57" s="3">
        <v>45655</v>
      </c>
      <c r="L57" s="2" t="s">
        <v>752</v>
      </c>
      <c r="M57" s="2" t="s">
        <v>914</v>
      </c>
      <c r="N57" s="2" t="s">
        <v>915</v>
      </c>
      <c r="O57" s="2" t="s">
        <v>749</v>
      </c>
      <c r="P57" s="5">
        <v>0</v>
      </c>
      <c r="Q57" s="5">
        <v>258</v>
      </c>
      <c r="R57" s="2">
        <v>1</v>
      </c>
      <c r="S57" s="2" t="s">
        <v>722</v>
      </c>
      <c r="T57" s="2">
        <v>1</v>
      </c>
      <c r="U57" s="5">
        <v>250</v>
      </c>
      <c r="V57" s="5">
        <v>15</v>
      </c>
      <c r="W57" s="2" t="s">
        <v>1</v>
      </c>
      <c r="X57" s="2" t="s">
        <v>723</v>
      </c>
      <c r="Y57" s="2" t="s">
        <v>724</v>
      </c>
      <c r="Z57" s="2" t="s">
        <v>1</v>
      </c>
      <c r="AA57" s="2" t="s">
        <v>1</v>
      </c>
      <c r="AB57" s="2" t="s">
        <v>1</v>
      </c>
      <c r="AC57" s="2" t="s">
        <v>1</v>
      </c>
      <c r="AD57" s="2" t="s">
        <v>1</v>
      </c>
      <c r="AE57" s="2" t="s">
        <v>1</v>
      </c>
      <c r="AF57" s="2" t="s">
        <v>756</v>
      </c>
      <c r="AG57" s="2" t="s">
        <v>101</v>
      </c>
      <c r="AH57" s="5">
        <v>0</v>
      </c>
      <c r="AI57" s="5">
        <v>265</v>
      </c>
      <c r="AJ57" s="5">
        <v>0</v>
      </c>
    </row>
    <row r="58" ht="17.5" customHeight="1" spans="1:36">
      <c r="A58" s="2" t="s">
        <v>928</v>
      </c>
      <c r="B58" s="2" t="s">
        <v>727</v>
      </c>
      <c r="C58" s="2" t="s">
        <v>834</v>
      </c>
      <c r="D58" s="2" t="s">
        <v>835</v>
      </c>
      <c r="E58" s="2" t="s">
        <v>835</v>
      </c>
      <c r="F58" s="9" t="str">
        <f>VLOOKUP(E58,'[1]202501入账'!$A:$F,5,0)</f>
        <v>KA销售中心</v>
      </c>
      <c r="G58" s="9" t="str">
        <f>VLOOKUP(E58,'[1]202501入账'!$A:$F,6,0)</f>
        <v>渠道合作组-西南区</v>
      </c>
      <c r="H58" s="2" t="s">
        <v>1</v>
      </c>
      <c r="I58" s="6">
        <v>45654.5006944444</v>
      </c>
      <c r="J58" s="3">
        <v>45654</v>
      </c>
      <c r="K58" s="3">
        <v>45657</v>
      </c>
      <c r="L58" s="2" t="s">
        <v>854</v>
      </c>
      <c r="M58" s="2" t="s">
        <v>855</v>
      </c>
      <c r="N58" s="2" t="s">
        <v>856</v>
      </c>
      <c r="O58" s="2" t="s">
        <v>734</v>
      </c>
      <c r="P58" s="5">
        <v>0</v>
      </c>
      <c r="Q58" s="5">
        <v>293.33</v>
      </c>
      <c r="R58" s="2">
        <v>1</v>
      </c>
      <c r="S58" s="2" t="s">
        <v>741</v>
      </c>
      <c r="T58" s="2">
        <v>3</v>
      </c>
      <c r="U58" s="5">
        <v>880</v>
      </c>
      <c r="V58" s="5">
        <v>0</v>
      </c>
      <c r="W58" s="2" t="s">
        <v>1</v>
      </c>
      <c r="X58" s="2" t="s">
        <v>723</v>
      </c>
      <c r="Y58" s="2" t="s">
        <v>724</v>
      </c>
      <c r="Z58" s="2" t="s">
        <v>1</v>
      </c>
      <c r="AA58" s="2" t="s">
        <v>1</v>
      </c>
      <c r="AB58" s="2" t="s">
        <v>1</v>
      </c>
      <c r="AC58" s="2" t="s">
        <v>1</v>
      </c>
      <c r="AD58" s="2" t="s">
        <v>1</v>
      </c>
      <c r="AE58" s="2" t="s">
        <v>1</v>
      </c>
      <c r="AF58" s="2" t="s">
        <v>929</v>
      </c>
      <c r="AG58" s="2" t="s">
        <v>101</v>
      </c>
      <c r="AH58" s="5">
        <v>0</v>
      </c>
      <c r="AI58" s="5">
        <v>880</v>
      </c>
      <c r="AJ58" s="5">
        <v>0</v>
      </c>
    </row>
    <row r="59" ht="17.5" customHeight="1" spans="1:36">
      <c r="A59" s="2" t="s">
        <v>930</v>
      </c>
      <c r="B59" s="2" t="s">
        <v>727</v>
      </c>
      <c r="C59" s="2" t="s">
        <v>931</v>
      </c>
      <c r="D59" s="2" t="s">
        <v>932</v>
      </c>
      <c r="E59" s="2" t="s">
        <v>932</v>
      </c>
      <c r="F59" s="9" t="str">
        <f>VLOOKUP(E59,'[1]202501入账'!$A:$F,5,0)</f>
        <v>KA销售中心</v>
      </c>
      <c r="G59" s="9" t="str">
        <f>VLOOKUP(E59,'[1]202501入账'!$A:$F,6,0)</f>
        <v>渠道合作组-西南区</v>
      </c>
      <c r="H59" s="2" t="s">
        <v>1</v>
      </c>
      <c r="I59" s="6">
        <v>45654.5673611111</v>
      </c>
      <c r="J59" s="3">
        <v>45654</v>
      </c>
      <c r="K59" s="3">
        <v>45655</v>
      </c>
      <c r="L59" s="2" t="s">
        <v>731</v>
      </c>
      <c r="M59" s="2" t="s">
        <v>933</v>
      </c>
      <c r="N59" s="2" t="s">
        <v>934</v>
      </c>
      <c r="O59" s="2" t="s">
        <v>935</v>
      </c>
      <c r="P59" s="5">
        <v>0</v>
      </c>
      <c r="Q59" s="5">
        <v>303</v>
      </c>
      <c r="R59" s="2">
        <v>1</v>
      </c>
      <c r="S59" s="2" t="s">
        <v>741</v>
      </c>
      <c r="T59" s="2">
        <v>1</v>
      </c>
      <c r="U59" s="5">
        <v>293</v>
      </c>
      <c r="V59" s="5">
        <v>17.58</v>
      </c>
      <c r="W59" s="2" t="s">
        <v>1</v>
      </c>
      <c r="X59" s="2" t="s">
        <v>723</v>
      </c>
      <c r="Y59" s="2" t="s">
        <v>724</v>
      </c>
      <c r="Z59" s="2" t="s">
        <v>1</v>
      </c>
      <c r="AA59" s="2" t="s">
        <v>1</v>
      </c>
      <c r="AB59" s="2" t="s">
        <v>1</v>
      </c>
      <c r="AC59" s="2" t="s">
        <v>1</v>
      </c>
      <c r="AD59" s="2" t="s">
        <v>1</v>
      </c>
      <c r="AE59" s="2" t="s">
        <v>1</v>
      </c>
      <c r="AF59" s="2" t="s">
        <v>936</v>
      </c>
      <c r="AG59" s="2" t="s">
        <v>101</v>
      </c>
      <c r="AH59" s="5">
        <v>0</v>
      </c>
      <c r="AI59" s="5">
        <v>310.58</v>
      </c>
      <c r="AJ59" s="5">
        <v>0</v>
      </c>
    </row>
    <row r="60" ht="17.5" customHeight="1" spans="1:36">
      <c r="A60" s="2" t="s">
        <v>937</v>
      </c>
      <c r="B60" s="2" t="s">
        <v>727</v>
      </c>
      <c r="C60" s="2" t="s">
        <v>282</v>
      </c>
      <c r="D60" s="2" t="s">
        <v>283</v>
      </c>
      <c r="E60" s="2" t="s">
        <v>283</v>
      </c>
      <c r="F60" s="9" t="str">
        <f>VLOOKUP(E60,'[1]202501入账'!$A:$F,5,0)</f>
        <v>KA销售中心</v>
      </c>
      <c r="G60" s="9" t="str">
        <f>VLOOKUP(E60,'[1]202501入账'!$A:$F,6,0)</f>
        <v>渠道合作组-华北区</v>
      </c>
      <c r="H60" s="2" t="s">
        <v>1</v>
      </c>
      <c r="I60" s="6">
        <v>45655.3451388889</v>
      </c>
      <c r="J60" s="3">
        <v>45655</v>
      </c>
      <c r="K60" s="3">
        <v>45656</v>
      </c>
      <c r="L60" s="2" t="s">
        <v>752</v>
      </c>
      <c r="M60" s="2" t="s">
        <v>753</v>
      </c>
      <c r="N60" s="2" t="s">
        <v>754</v>
      </c>
      <c r="O60" s="2" t="s">
        <v>755</v>
      </c>
      <c r="P60" s="5">
        <v>0</v>
      </c>
      <c r="Q60" s="5">
        <v>252</v>
      </c>
      <c r="R60" s="2">
        <v>1</v>
      </c>
      <c r="S60" s="2" t="s">
        <v>741</v>
      </c>
      <c r="T60" s="2">
        <v>1</v>
      </c>
      <c r="U60" s="5">
        <v>234</v>
      </c>
      <c r="V60" s="5">
        <v>14.04</v>
      </c>
      <c r="W60" s="2" t="s">
        <v>1</v>
      </c>
      <c r="X60" s="2" t="s">
        <v>723</v>
      </c>
      <c r="Y60" s="2" t="s">
        <v>724</v>
      </c>
      <c r="Z60" s="2" t="s">
        <v>1</v>
      </c>
      <c r="AA60" s="2" t="s">
        <v>1</v>
      </c>
      <c r="AB60" s="2" t="s">
        <v>1</v>
      </c>
      <c r="AC60" s="2" t="s">
        <v>1</v>
      </c>
      <c r="AD60" s="2" t="s">
        <v>1</v>
      </c>
      <c r="AE60" s="2" t="s">
        <v>1</v>
      </c>
      <c r="AF60" s="2" t="s">
        <v>756</v>
      </c>
      <c r="AG60" s="2" t="s">
        <v>101</v>
      </c>
      <c r="AH60" s="5">
        <v>0</v>
      </c>
      <c r="AI60" s="5">
        <v>248.04</v>
      </c>
      <c r="AJ60" s="5">
        <v>0</v>
      </c>
    </row>
    <row r="61" ht="17.5" customHeight="1" spans="1:36">
      <c r="A61" s="2" t="s">
        <v>938</v>
      </c>
      <c r="B61" s="2" t="s">
        <v>727</v>
      </c>
      <c r="C61" s="2" t="s">
        <v>226</v>
      </c>
      <c r="D61" s="2" t="s">
        <v>227</v>
      </c>
      <c r="E61" s="2" t="s">
        <v>227</v>
      </c>
      <c r="F61" s="9" t="str">
        <f>VLOOKUP(E61,'[1]202501入账'!$A:$F,5,0)</f>
        <v>自营销售中心</v>
      </c>
      <c r="G61" s="9" t="str">
        <f>VLOOKUP(E61,'[1]202501入账'!$A:$F,6,0)</f>
        <v/>
      </c>
      <c r="H61" s="2" t="s">
        <v>1</v>
      </c>
      <c r="I61" s="6">
        <v>45656.5986111111</v>
      </c>
      <c r="J61" s="3">
        <v>45663</v>
      </c>
      <c r="K61" s="3">
        <v>45667</v>
      </c>
      <c r="L61" s="2" t="s">
        <v>746</v>
      </c>
      <c r="M61" s="2" t="s">
        <v>939</v>
      </c>
      <c r="N61" s="2" t="s">
        <v>940</v>
      </c>
      <c r="O61" s="2" t="s">
        <v>749</v>
      </c>
      <c r="P61" s="5">
        <v>0</v>
      </c>
      <c r="Q61" s="5">
        <v>317.25</v>
      </c>
      <c r="R61" s="2">
        <v>1</v>
      </c>
      <c r="S61" s="2" t="s">
        <v>741</v>
      </c>
      <c r="T61" s="2">
        <v>4</v>
      </c>
      <c r="U61" s="5">
        <v>1200</v>
      </c>
      <c r="V61" s="5">
        <v>0</v>
      </c>
      <c r="W61" s="2" t="s">
        <v>1</v>
      </c>
      <c r="X61" s="2" t="s">
        <v>723</v>
      </c>
      <c r="Y61" s="2" t="s">
        <v>724</v>
      </c>
      <c r="Z61" s="2" t="s">
        <v>1</v>
      </c>
      <c r="AA61" s="2" t="s">
        <v>1</v>
      </c>
      <c r="AB61" s="2" t="s">
        <v>1</v>
      </c>
      <c r="AC61" s="2" t="s">
        <v>1</v>
      </c>
      <c r="AD61" s="2" t="s">
        <v>1</v>
      </c>
      <c r="AE61" s="2" t="s">
        <v>1</v>
      </c>
      <c r="AF61" s="2" t="s">
        <v>941</v>
      </c>
      <c r="AG61" s="2" t="s">
        <v>101</v>
      </c>
      <c r="AH61" s="5">
        <v>0</v>
      </c>
      <c r="AI61" s="5">
        <v>1200</v>
      </c>
      <c r="AJ61" s="5">
        <v>0</v>
      </c>
    </row>
    <row r="62" ht="17.5" customHeight="1" spans="1:36">
      <c r="A62" s="2" t="s">
        <v>942</v>
      </c>
      <c r="B62" s="2" t="s">
        <v>727</v>
      </c>
      <c r="C62" s="2" t="s">
        <v>384</v>
      </c>
      <c r="D62" s="2" t="s">
        <v>385</v>
      </c>
      <c r="E62" s="2" t="s">
        <v>385</v>
      </c>
      <c r="F62" s="9" t="str">
        <f>VLOOKUP(E62,'[1]202501入账'!$A:$F,5,0)</f>
        <v>KA销售中心</v>
      </c>
      <c r="G62" s="9" t="str">
        <f>VLOOKUP(E62,'[1]202501入账'!$A:$F,6,0)</f>
        <v>渠道合作组-华北区</v>
      </c>
      <c r="H62" s="2" t="s">
        <v>1</v>
      </c>
      <c r="I62" s="6">
        <v>45656.7631944444</v>
      </c>
      <c r="J62" s="3">
        <v>45656</v>
      </c>
      <c r="K62" s="3">
        <v>45657</v>
      </c>
      <c r="L62" s="2" t="s">
        <v>776</v>
      </c>
      <c r="M62" s="2" t="s">
        <v>943</v>
      </c>
      <c r="N62" s="2" t="s">
        <v>944</v>
      </c>
      <c r="O62" s="2" t="s">
        <v>749</v>
      </c>
      <c r="P62" s="5">
        <v>0</v>
      </c>
      <c r="Q62" s="5">
        <v>295</v>
      </c>
      <c r="R62" s="2">
        <v>1</v>
      </c>
      <c r="S62" s="2" t="s">
        <v>722</v>
      </c>
      <c r="T62" s="2">
        <v>1</v>
      </c>
      <c r="U62" s="5">
        <v>295</v>
      </c>
      <c r="V62" s="5">
        <v>0</v>
      </c>
      <c r="W62" s="2" t="s">
        <v>1</v>
      </c>
      <c r="X62" s="2" t="s">
        <v>723</v>
      </c>
      <c r="Y62" s="2" t="s">
        <v>724</v>
      </c>
      <c r="Z62" s="2" t="s">
        <v>1</v>
      </c>
      <c r="AA62" s="2" t="s">
        <v>1</v>
      </c>
      <c r="AB62" s="2" t="s">
        <v>1</v>
      </c>
      <c r="AC62" s="2" t="s">
        <v>1</v>
      </c>
      <c r="AD62" s="2" t="s">
        <v>1</v>
      </c>
      <c r="AE62" s="2" t="s">
        <v>1</v>
      </c>
      <c r="AF62" s="2" t="s">
        <v>945</v>
      </c>
      <c r="AG62" s="2" t="s">
        <v>101</v>
      </c>
      <c r="AH62" s="5">
        <v>0</v>
      </c>
      <c r="AI62" s="5">
        <v>295</v>
      </c>
      <c r="AJ62" s="5">
        <v>0</v>
      </c>
    </row>
    <row r="63" ht="17.5" customHeight="1" spans="1:36">
      <c r="A63" s="2" t="s">
        <v>946</v>
      </c>
      <c r="B63" s="2" t="s">
        <v>727</v>
      </c>
      <c r="C63" s="2" t="s">
        <v>238</v>
      </c>
      <c r="D63" s="2" t="s">
        <v>239</v>
      </c>
      <c r="E63" s="2" t="s">
        <v>239</v>
      </c>
      <c r="F63" s="9" t="str">
        <f>VLOOKUP(E63,'[1]202501入账'!$A:$F,5,0)</f>
        <v>运营支持中心</v>
      </c>
      <c r="G63" s="9" t="str">
        <f>VLOOKUP(E63,'[1]202501入账'!$A:$F,6,0)</f>
        <v>新零售服务二组</v>
      </c>
      <c r="H63" s="2" t="s">
        <v>1</v>
      </c>
      <c r="I63" s="6">
        <v>45656.8138888889</v>
      </c>
      <c r="J63" s="3">
        <v>45657</v>
      </c>
      <c r="K63" s="3">
        <v>45658</v>
      </c>
      <c r="L63" s="2" t="s">
        <v>947</v>
      </c>
      <c r="M63" s="2" t="s">
        <v>948</v>
      </c>
      <c r="N63" s="2" t="s">
        <v>949</v>
      </c>
      <c r="O63" s="2" t="s">
        <v>758</v>
      </c>
      <c r="P63" s="5">
        <v>0</v>
      </c>
      <c r="Q63" s="5">
        <v>249</v>
      </c>
      <c r="R63" s="2">
        <v>1</v>
      </c>
      <c r="S63" s="2" t="s">
        <v>741</v>
      </c>
      <c r="T63" s="2">
        <v>1</v>
      </c>
      <c r="U63" s="5">
        <v>249</v>
      </c>
      <c r="V63" s="5">
        <v>14.94</v>
      </c>
      <c r="W63" s="2" t="s">
        <v>1</v>
      </c>
      <c r="X63" s="2" t="s">
        <v>723</v>
      </c>
      <c r="Y63" s="2" t="s">
        <v>724</v>
      </c>
      <c r="Z63" s="2" t="s">
        <v>1</v>
      </c>
      <c r="AA63" s="2" t="s">
        <v>1</v>
      </c>
      <c r="AB63" s="2" t="s">
        <v>1</v>
      </c>
      <c r="AC63" s="2" t="s">
        <v>1</v>
      </c>
      <c r="AD63" s="2" t="s">
        <v>1</v>
      </c>
      <c r="AE63" s="2" t="s">
        <v>1</v>
      </c>
      <c r="AF63" s="2" t="s">
        <v>950</v>
      </c>
      <c r="AG63" s="2" t="s">
        <v>101</v>
      </c>
      <c r="AH63" s="5">
        <v>0</v>
      </c>
      <c r="AI63" s="5">
        <v>263.94</v>
      </c>
      <c r="AJ63" s="5">
        <v>0</v>
      </c>
    </row>
    <row r="64" ht="17.5" customHeight="1" spans="1:36">
      <c r="A64" s="2" t="s">
        <v>951</v>
      </c>
      <c r="B64" s="2" t="s">
        <v>727</v>
      </c>
      <c r="C64" s="2" t="s">
        <v>208</v>
      </c>
      <c r="D64" s="2" t="s">
        <v>209</v>
      </c>
      <c r="E64" s="2" t="s">
        <v>209</v>
      </c>
      <c r="F64" s="9" t="str">
        <f>VLOOKUP(E64,'[1]202501入账'!$A:$F,5,0)</f>
        <v>学习产品中心</v>
      </c>
      <c r="G64" s="9" t="str">
        <f>VLOOKUP(E64,'[1]202501入账'!$A:$F,6,0)</f>
        <v/>
      </c>
      <c r="H64" s="2" t="s">
        <v>1</v>
      </c>
      <c r="I64" s="6">
        <v>45656.8861111111</v>
      </c>
      <c r="J64" s="3">
        <v>45656</v>
      </c>
      <c r="K64" s="3">
        <v>45657</v>
      </c>
      <c r="L64" s="2" t="s">
        <v>737</v>
      </c>
      <c r="M64" s="2" t="s">
        <v>952</v>
      </c>
      <c r="N64" s="2" t="s">
        <v>953</v>
      </c>
      <c r="O64" s="2" t="s">
        <v>758</v>
      </c>
      <c r="P64" s="5">
        <v>0</v>
      </c>
      <c r="Q64" s="5">
        <v>395</v>
      </c>
      <c r="R64" s="2">
        <v>1</v>
      </c>
      <c r="S64" s="2" t="s">
        <v>741</v>
      </c>
      <c r="T64" s="2">
        <v>1</v>
      </c>
      <c r="U64" s="5">
        <v>395</v>
      </c>
      <c r="V64" s="5">
        <v>23.7</v>
      </c>
      <c r="W64" s="2" t="s">
        <v>1</v>
      </c>
      <c r="X64" s="2" t="s">
        <v>723</v>
      </c>
      <c r="Y64" s="2" t="s">
        <v>724</v>
      </c>
      <c r="Z64" s="2" t="s">
        <v>1</v>
      </c>
      <c r="AA64" s="2" t="s">
        <v>1</v>
      </c>
      <c r="AB64" s="2" t="s">
        <v>1</v>
      </c>
      <c r="AC64" s="2" t="s">
        <v>1</v>
      </c>
      <c r="AD64" s="2" t="s">
        <v>1</v>
      </c>
      <c r="AE64" s="2" t="s">
        <v>1</v>
      </c>
      <c r="AF64" s="2" t="s">
        <v>954</v>
      </c>
      <c r="AG64" s="2" t="s">
        <v>101</v>
      </c>
      <c r="AH64" s="5">
        <v>0</v>
      </c>
      <c r="AI64" s="5">
        <v>418.7</v>
      </c>
      <c r="AJ64" s="5">
        <v>0</v>
      </c>
    </row>
    <row r="65" ht="17.5" customHeight="1" spans="1:36">
      <c r="A65" s="2" t="s">
        <v>955</v>
      </c>
      <c r="B65" s="2" t="s">
        <v>727</v>
      </c>
      <c r="C65" s="2" t="s">
        <v>214</v>
      </c>
      <c r="D65" s="2" t="s">
        <v>215</v>
      </c>
      <c r="E65" s="2" t="s">
        <v>215</v>
      </c>
      <c r="F65" s="9" t="str">
        <f>VLOOKUP(E65,'[1]202501入账'!$A:$F,5,0)</f>
        <v>学习产品中心</v>
      </c>
      <c r="G65" s="9" t="str">
        <f>VLOOKUP(E65,'[1]202501入账'!$A:$F,6,0)</f>
        <v>学习产品组</v>
      </c>
      <c r="H65" s="2" t="s">
        <v>1</v>
      </c>
      <c r="I65" s="6">
        <v>45656.9034722222</v>
      </c>
      <c r="J65" s="3">
        <v>45656</v>
      </c>
      <c r="K65" s="3">
        <v>45657</v>
      </c>
      <c r="L65" s="2" t="s">
        <v>737</v>
      </c>
      <c r="M65" s="2" t="s">
        <v>952</v>
      </c>
      <c r="N65" s="2" t="s">
        <v>953</v>
      </c>
      <c r="O65" s="2" t="s">
        <v>758</v>
      </c>
      <c r="P65" s="5">
        <v>0</v>
      </c>
      <c r="Q65" s="5">
        <v>395</v>
      </c>
      <c r="R65" s="2">
        <v>1</v>
      </c>
      <c r="S65" s="2" t="s">
        <v>741</v>
      </c>
      <c r="T65" s="2">
        <v>1</v>
      </c>
      <c r="U65" s="5">
        <v>395</v>
      </c>
      <c r="V65" s="5">
        <v>23.7</v>
      </c>
      <c r="W65" s="2" t="s">
        <v>1</v>
      </c>
      <c r="X65" s="2" t="s">
        <v>723</v>
      </c>
      <c r="Y65" s="2" t="s">
        <v>724</v>
      </c>
      <c r="Z65" s="2" t="s">
        <v>1</v>
      </c>
      <c r="AA65" s="2" t="s">
        <v>1</v>
      </c>
      <c r="AB65" s="2" t="s">
        <v>1</v>
      </c>
      <c r="AC65" s="2" t="s">
        <v>1</v>
      </c>
      <c r="AD65" s="2" t="s">
        <v>1</v>
      </c>
      <c r="AE65" s="2" t="s">
        <v>1</v>
      </c>
      <c r="AF65" s="2" t="s">
        <v>956</v>
      </c>
      <c r="AG65" s="2" t="s">
        <v>101</v>
      </c>
      <c r="AH65" s="5">
        <v>0</v>
      </c>
      <c r="AI65" s="5">
        <v>418.7</v>
      </c>
      <c r="AJ65" s="5">
        <v>0</v>
      </c>
    </row>
    <row r="66" ht="17.5" customHeight="1" spans="1:36">
      <c r="A66" s="2" t="s">
        <v>957</v>
      </c>
      <c r="B66" s="2" t="s">
        <v>727</v>
      </c>
      <c r="C66" s="2" t="s">
        <v>214</v>
      </c>
      <c r="D66" s="2" t="s">
        <v>215</v>
      </c>
      <c r="E66" s="2" t="s">
        <v>215</v>
      </c>
      <c r="F66" s="9" t="str">
        <f>VLOOKUP(E66,'[1]202501入账'!$A:$F,5,0)</f>
        <v>学习产品中心</v>
      </c>
      <c r="G66" s="9" t="str">
        <f>VLOOKUP(E66,'[1]202501入账'!$A:$F,6,0)</f>
        <v>学习产品组</v>
      </c>
      <c r="H66" s="2" t="s">
        <v>1</v>
      </c>
      <c r="I66" s="6">
        <v>45657.40625</v>
      </c>
      <c r="J66" s="3">
        <v>45657</v>
      </c>
      <c r="K66" s="3">
        <v>45658</v>
      </c>
      <c r="L66" s="2" t="s">
        <v>737</v>
      </c>
      <c r="M66" s="2" t="s">
        <v>952</v>
      </c>
      <c r="N66" s="2" t="s">
        <v>953</v>
      </c>
      <c r="O66" s="2" t="s">
        <v>758</v>
      </c>
      <c r="P66" s="5">
        <v>0</v>
      </c>
      <c r="Q66" s="5">
        <v>428</v>
      </c>
      <c r="R66" s="2">
        <v>1</v>
      </c>
      <c r="S66" s="2" t="s">
        <v>741</v>
      </c>
      <c r="T66" s="2">
        <v>1</v>
      </c>
      <c r="U66" s="5">
        <v>400</v>
      </c>
      <c r="V66" s="5">
        <v>24</v>
      </c>
      <c r="W66" s="2" t="s">
        <v>1</v>
      </c>
      <c r="X66" s="2" t="s">
        <v>723</v>
      </c>
      <c r="Y66" s="2" t="s">
        <v>724</v>
      </c>
      <c r="Z66" s="2" t="s">
        <v>1</v>
      </c>
      <c r="AA66" s="2" t="s">
        <v>1</v>
      </c>
      <c r="AB66" s="2" t="s">
        <v>1</v>
      </c>
      <c r="AC66" s="2" t="s">
        <v>1</v>
      </c>
      <c r="AD66" s="2" t="s">
        <v>1</v>
      </c>
      <c r="AE66" s="2" t="s">
        <v>1</v>
      </c>
      <c r="AF66" s="2" t="s">
        <v>956</v>
      </c>
      <c r="AG66" s="2" t="s">
        <v>101</v>
      </c>
      <c r="AH66" s="5">
        <v>0</v>
      </c>
      <c r="AI66" s="5">
        <v>424</v>
      </c>
      <c r="AJ66" s="5">
        <v>0</v>
      </c>
    </row>
    <row r="67" ht="17.5" customHeight="1" spans="1:36">
      <c r="A67" s="2" t="s">
        <v>958</v>
      </c>
      <c r="B67" s="2" t="s">
        <v>727</v>
      </c>
      <c r="C67" s="2" t="s">
        <v>549</v>
      </c>
      <c r="D67" s="2" t="s">
        <v>550</v>
      </c>
      <c r="E67" s="2" t="s">
        <v>550</v>
      </c>
      <c r="F67" s="9" t="str">
        <f>VLOOKUP(E67,'[1]202501入账'!$A:$F,5,0)</f>
        <v>KA销售中心</v>
      </c>
      <c r="G67" s="9" t="str">
        <f>VLOOKUP(E67,'[1]202501入账'!$A:$F,6,0)</f>
        <v>渠道合作组-华南区</v>
      </c>
      <c r="H67" s="2" t="s">
        <v>1</v>
      </c>
      <c r="I67" s="6">
        <v>45658.7277777778</v>
      </c>
      <c r="J67" s="3">
        <v>45659</v>
      </c>
      <c r="K67" s="3">
        <v>45660</v>
      </c>
      <c r="L67" s="2" t="s">
        <v>959</v>
      </c>
      <c r="M67" s="2" t="s">
        <v>960</v>
      </c>
      <c r="N67" s="2" t="s">
        <v>961</v>
      </c>
      <c r="O67" s="2" t="s">
        <v>749</v>
      </c>
      <c r="P67" s="5">
        <v>0</v>
      </c>
      <c r="Q67" s="5">
        <v>226</v>
      </c>
      <c r="R67" s="2">
        <v>1</v>
      </c>
      <c r="S67" s="2" t="s">
        <v>741</v>
      </c>
      <c r="T67" s="2">
        <v>1</v>
      </c>
      <c r="U67" s="5">
        <v>226</v>
      </c>
      <c r="V67" s="5">
        <v>13.56</v>
      </c>
      <c r="W67" s="2" t="s">
        <v>1</v>
      </c>
      <c r="X67" s="2" t="s">
        <v>723</v>
      </c>
      <c r="Y67" s="2" t="s">
        <v>724</v>
      </c>
      <c r="Z67" s="2" t="s">
        <v>1</v>
      </c>
      <c r="AA67" s="2" t="s">
        <v>1</v>
      </c>
      <c r="AB67" s="2" t="s">
        <v>1</v>
      </c>
      <c r="AC67" s="2" t="s">
        <v>1</v>
      </c>
      <c r="AD67" s="2" t="s">
        <v>1</v>
      </c>
      <c r="AE67" s="2" t="s">
        <v>1</v>
      </c>
      <c r="AF67" s="2" t="s">
        <v>962</v>
      </c>
      <c r="AG67" s="2" t="s">
        <v>101</v>
      </c>
      <c r="AH67" s="5">
        <v>0</v>
      </c>
      <c r="AI67" s="5">
        <v>239.56</v>
      </c>
      <c r="AJ67" s="5">
        <v>0</v>
      </c>
    </row>
    <row r="68" ht="17.5" customHeight="1" spans="1:36">
      <c r="A68" s="2" t="s">
        <v>963</v>
      </c>
      <c r="B68" s="2" t="s">
        <v>727</v>
      </c>
      <c r="C68" s="2" t="s">
        <v>122</v>
      </c>
      <c r="D68" s="2" t="s">
        <v>123</v>
      </c>
      <c r="E68" s="2" t="s">
        <v>123</v>
      </c>
      <c r="F68" s="9" t="str">
        <f>VLOOKUP(E68,'[1]202501入账'!$A:$F,5,0)</f>
        <v>电商产品中心</v>
      </c>
      <c r="G68" s="9" t="str">
        <f>VLOOKUP(E68,'[1]202501入账'!$A:$F,6,0)</f>
        <v>电商产品组</v>
      </c>
      <c r="H68" s="2" t="s">
        <v>1</v>
      </c>
      <c r="I68" s="6">
        <v>45659.4097222222</v>
      </c>
      <c r="J68" s="3">
        <v>45659</v>
      </c>
      <c r="K68" s="3">
        <v>45660</v>
      </c>
      <c r="L68" s="2" t="s">
        <v>947</v>
      </c>
      <c r="M68" s="2" t="s">
        <v>948</v>
      </c>
      <c r="N68" s="2" t="s">
        <v>949</v>
      </c>
      <c r="O68" s="2" t="s">
        <v>758</v>
      </c>
      <c r="P68" s="5">
        <v>0</v>
      </c>
      <c r="Q68" s="5">
        <v>250</v>
      </c>
      <c r="R68" s="2">
        <v>1</v>
      </c>
      <c r="S68" s="2" t="s">
        <v>741</v>
      </c>
      <c r="T68" s="2">
        <v>1</v>
      </c>
      <c r="U68" s="5">
        <v>250</v>
      </c>
      <c r="V68" s="5">
        <v>15</v>
      </c>
      <c r="W68" s="2" t="s">
        <v>1</v>
      </c>
      <c r="X68" s="2" t="s">
        <v>723</v>
      </c>
      <c r="Y68" s="2" t="s">
        <v>724</v>
      </c>
      <c r="Z68" s="2" t="s">
        <v>1</v>
      </c>
      <c r="AA68" s="2" t="s">
        <v>1</v>
      </c>
      <c r="AB68" s="2" t="s">
        <v>1</v>
      </c>
      <c r="AC68" s="2" t="s">
        <v>1</v>
      </c>
      <c r="AD68" s="2" t="s">
        <v>1</v>
      </c>
      <c r="AE68" s="2" t="s">
        <v>1</v>
      </c>
      <c r="AF68" s="2" t="s">
        <v>964</v>
      </c>
      <c r="AG68" s="2" t="s">
        <v>101</v>
      </c>
      <c r="AH68" s="5">
        <v>0</v>
      </c>
      <c r="AI68" s="5">
        <v>265</v>
      </c>
      <c r="AJ68" s="5">
        <v>0</v>
      </c>
    </row>
    <row r="69" ht="17.5" customHeight="1" spans="1:36">
      <c r="A69" s="2" t="s">
        <v>965</v>
      </c>
      <c r="B69" s="2" t="s">
        <v>727</v>
      </c>
      <c r="C69" s="2" t="s">
        <v>442</v>
      </c>
      <c r="D69" s="2" t="s">
        <v>443</v>
      </c>
      <c r="E69" s="2" t="s">
        <v>443</v>
      </c>
      <c r="F69" s="9" t="str">
        <f>VLOOKUP(E69,'[1]202501入账'!$A:$F,5,0)</f>
        <v>运营支持中心</v>
      </c>
      <c r="G69" s="9" t="str">
        <f>VLOOKUP(E69,'[1]202501入账'!$A:$F,6,0)</f>
        <v>新零售服务二组</v>
      </c>
      <c r="H69" s="2" t="s">
        <v>1</v>
      </c>
      <c r="I69" s="6">
        <v>45659.4479166667</v>
      </c>
      <c r="J69" s="3">
        <v>45659</v>
      </c>
      <c r="K69" s="3">
        <v>45660</v>
      </c>
      <c r="L69" s="2" t="s">
        <v>947</v>
      </c>
      <c r="M69" s="2" t="s">
        <v>948</v>
      </c>
      <c r="N69" s="2" t="s">
        <v>949</v>
      </c>
      <c r="O69" s="2" t="s">
        <v>758</v>
      </c>
      <c r="P69" s="5">
        <v>0</v>
      </c>
      <c r="Q69" s="5">
        <v>250</v>
      </c>
      <c r="R69" s="2">
        <v>1</v>
      </c>
      <c r="S69" s="2" t="s">
        <v>741</v>
      </c>
      <c r="T69" s="2">
        <v>1</v>
      </c>
      <c r="U69" s="5">
        <v>250</v>
      </c>
      <c r="V69" s="5">
        <v>15</v>
      </c>
      <c r="W69" s="2" t="s">
        <v>1</v>
      </c>
      <c r="X69" s="2" t="s">
        <v>723</v>
      </c>
      <c r="Y69" s="2" t="s">
        <v>724</v>
      </c>
      <c r="Z69" s="2" t="s">
        <v>1</v>
      </c>
      <c r="AA69" s="2" t="s">
        <v>1</v>
      </c>
      <c r="AB69" s="2" t="s">
        <v>1</v>
      </c>
      <c r="AC69" s="2" t="s">
        <v>1</v>
      </c>
      <c r="AD69" s="2" t="s">
        <v>1</v>
      </c>
      <c r="AE69" s="2" t="s">
        <v>1</v>
      </c>
      <c r="AF69" s="2" t="s">
        <v>966</v>
      </c>
      <c r="AG69" s="2" t="s">
        <v>101</v>
      </c>
      <c r="AH69" s="5">
        <v>0</v>
      </c>
      <c r="AI69" s="5">
        <v>265</v>
      </c>
      <c r="AJ69" s="5">
        <v>0</v>
      </c>
    </row>
    <row r="70" ht="17.5" customHeight="1" spans="1:36">
      <c r="A70" s="2" t="s">
        <v>967</v>
      </c>
      <c r="B70" s="2" t="s">
        <v>727</v>
      </c>
      <c r="C70" s="2" t="s">
        <v>271</v>
      </c>
      <c r="D70" s="2" t="s">
        <v>272</v>
      </c>
      <c r="E70" s="2" t="s">
        <v>272</v>
      </c>
      <c r="F70" s="9" t="str">
        <f>VLOOKUP(E70,'[1]202501入账'!$A:$F,5,0)</f>
        <v>KA销售中心</v>
      </c>
      <c r="G70" s="9" t="str">
        <f>VLOOKUP(E70,'[1]202501入账'!$A:$F,6,0)</f>
        <v>渠道合作组-华南区</v>
      </c>
      <c r="H70" s="2" t="s">
        <v>1</v>
      </c>
      <c r="I70" s="6">
        <v>45659.7256944444</v>
      </c>
      <c r="J70" s="3">
        <v>45659</v>
      </c>
      <c r="K70" s="3">
        <v>45660</v>
      </c>
      <c r="L70" s="2" t="s">
        <v>737</v>
      </c>
      <c r="M70" s="2" t="s">
        <v>968</v>
      </c>
      <c r="N70" s="2" t="s">
        <v>969</v>
      </c>
      <c r="O70" s="2" t="s">
        <v>721</v>
      </c>
      <c r="P70" s="5">
        <v>0</v>
      </c>
      <c r="Q70" s="5">
        <v>371</v>
      </c>
      <c r="R70" s="2">
        <v>1</v>
      </c>
      <c r="S70" s="2" t="s">
        <v>741</v>
      </c>
      <c r="T70" s="2">
        <v>1</v>
      </c>
      <c r="U70" s="5">
        <v>371</v>
      </c>
      <c r="V70" s="5">
        <v>22.26</v>
      </c>
      <c r="W70" s="2" t="s">
        <v>1</v>
      </c>
      <c r="X70" s="2" t="s">
        <v>723</v>
      </c>
      <c r="Y70" s="2" t="s">
        <v>724</v>
      </c>
      <c r="Z70" s="2" t="s">
        <v>1</v>
      </c>
      <c r="AA70" s="2" t="s">
        <v>1</v>
      </c>
      <c r="AB70" s="2" t="s">
        <v>1</v>
      </c>
      <c r="AC70" s="2" t="s">
        <v>1</v>
      </c>
      <c r="AD70" s="2" t="s">
        <v>1</v>
      </c>
      <c r="AE70" s="2" t="s">
        <v>1</v>
      </c>
      <c r="AF70" s="2" t="s">
        <v>970</v>
      </c>
      <c r="AG70" s="2" t="s">
        <v>101</v>
      </c>
      <c r="AH70" s="5">
        <v>0</v>
      </c>
      <c r="AI70" s="5">
        <v>393.26</v>
      </c>
      <c r="AJ70" s="5">
        <v>0</v>
      </c>
    </row>
    <row r="71" ht="17.5" customHeight="1" spans="1:36">
      <c r="A71" s="2" t="s">
        <v>971</v>
      </c>
      <c r="B71" s="2" t="s">
        <v>727</v>
      </c>
      <c r="C71" s="2" t="s">
        <v>549</v>
      </c>
      <c r="D71" s="2" t="s">
        <v>550</v>
      </c>
      <c r="E71" s="2" t="s">
        <v>550</v>
      </c>
      <c r="F71" s="9" t="str">
        <f>VLOOKUP(E71,'[1]202501入账'!$A:$F,5,0)</f>
        <v>KA销售中心</v>
      </c>
      <c r="G71" s="9" t="str">
        <f>VLOOKUP(E71,'[1]202501入账'!$A:$F,6,0)</f>
        <v>渠道合作组-华南区</v>
      </c>
      <c r="H71" s="2" t="s">
        <v>1</v>
      </c>
      <c r="I71" s="6">
        <v>45660.3916666667</v>
      </c>
      <c r="J71" s="3">
        <v>45660</v>
      </c>
      <c r="K71" s="3">
        <v>45661</v>
      </c>
      <c r="L71" s="2" t="s">
        <v>959</v>
      </c>
      <c r="M71" s="2" t="s">
        <v>972</v>
      </c>
      <c r="N71" s="2" t="s">
        <v>973</v>
      </c>
      <c r="O71" s="2" t="s">
        <v>974</v>
      </c>
      <c r="P71" s="5">
        <v>0</v>
      </c>
      <c r="Q71" s="5">
        <v>538</v>
      </c>
      <c r="R71" s="2">
        <v>1</v>
      </c>
      <c r="S71" s="2" t="s">
        <v>822</v>
      </c>
      <c r="T71" s="2">
        <v>1</v>
      </c>
      <c r="U71" s="5">
        <v>250</v>
      </c>
      <c r="V71" s="5">
        <v>0</v>
      </c>
      <c r="W71" s="2" t="s">
        <v>1</v>
      </c>
      <c r="X71" s="2" t="s">
        <v>723</v>
      </c>
      <c r="Y71" s="2" t="s">
        <v>724</v>
      </c>
      <c r="Z71" s="2" t="s">
        <v>1</v>
      </c>
      <c r="AA71" s="2" t="s">
        <v>1</v>
      </c>
      <c r="AB71" s="2" t="s">
        <v>1</v>
      </c>
      <c r="AC71" s="2" t="s">
        <v>1</v>
      </c>
      <c r="AD71" s="2" t="s">
        <v>1</v>
      </c>
      <c r="AE71" s="2" t="s">
        <v>1</v>
      </c>
      <c r="AF71" s="2" t="s">
        <v>962</v>
      </c>
      <c r="AG71" s="2" t="s">
        <v>101</v>
      </c>
      <c r="AH71" s="5">
        <v>0</v>
      </c>
      <c r="AI71" s="5">
        <v>250</v>
      </c>
      <c r="AJ71" s="5">
        <v>0</v>
      </c>
    </row>
    <row r="72" ht="17.5" customHeight="1" spans="1:36">
      <c r="A72" s="2" t="s">
        <v>975</v>
      </c>
      <c r="B72" s="2" t="s">
        <v>727</v>
      </c>
      <c r="C72" s="2" t="s">
        <v>271</v>
      </c>
      <c r="D72" s="2" t="s">
        <v>272</v>
      </c>
      <c r="E72" s="2" t="s">
        <v>272</v>
      </c>
      <c r="F72" s="9" t="str">
        <f>VLOOKUP(E72,'[1]202501入账'!$A:$F,5,0)</f>
        <v>KA销售中心</v>
      </c>
      <c r="G72" s="9" t="str">
        <f>VLOOKUP(E72,'[1]202501入账'!$A:$F,6,0)</f>
        <v>渠道合作组-华南区</v>
      </c>
      <c r="H72" s="2" t="s">
        <v>1</v>
      </c>
      <c r="I72" s="6">
        <v>45660.8826388889</v>
      </c>
      <c r="J72" s="3">
        <v>45660</v>
      </c>
      <c r="K72" s="3">
        <v>45661</v>
      </c>
      <c r="L72" s="2" t="s">
        <v>737</v>
      </c>
      <c r="M72" s="2" t="s">
        <v>824</v>
      </c>
      <c r="N72" s="2" t="s">
        <v>825</v>
      </c>
      <c r="O72" s="2" t="s">
        <v>976</v>
      </c>
      <c r="P72" s="5">
        <v>0</v>
      </c>
      <c r="Q72" s="5">
        <v>297</v>
      </c>
      <c r="R72" s="2">
        <v>1</v>
      </c>
      <c r="S72" s="2" t="s">
        <v>722</v>
      </c>
      <c r="T72" s="2">
        <v>1</v>
      </c>
      <c r="U72" s="5">
        <v>297</v>
      </c>
      <c r="V72" s="5">
        <v>0</v>
      </c>
      <c r="W72" s="2" t="s">
        <v>1</v>
      </c>
      <c r="X72" s="2" t="s">
        <v>723</v>
      </c>
      <c r="Y72" s="2" t="s">
        <v>724</v>
      </c>
      <c r="Z72" s="2" t="s">
        <v>1</v>
      </c>
      <c r="AA72" s="2" t="s">
        <v>1</v>
      </c>
      <c r="AB72" s="2" t="s">
        <v>1</v>
      </c>
      <c r="AC72" s="2" t="s">
        <v>1</v>
      </c>
      <c r="AD72" s="2" t="s">
        <v>1</v>
      </c>
      <c r="AE72" s="2" t="s">
        <v>1</v>
      </c>
      <c r="AF72" s="2" t="s">
        <v>970</v>
      </c>
      <c r="AG72" s="2" t="s">
        <v>101</v>
      </c>
      <c r="AH72" s="5">
        <v>0</v>
      </c>
      <c r="AI72" s="5">
        <v>297</v>
      </c>
      <c r="AJ72" s="5">
        <v>0</v>
      </c>
    </row>
    <row r="73" ht="17.5" customHeight="1" spans="1:36">
      <c r="A73" s="2" t="s">
        <v>977</v>
      </c>
      <c r="B73" s="2" t="s">
        <v>727</v>
      </c>
      <c r="C73" s="2" t="s">
        <v>674</v>
      </c>
      <c r="D73" s="2" t="s">
        <v>675</v>
      </c>
      <c r="E73" s="2" t="s">
        <v>675</v>
      </c>
      <c r="F73" s="9" t="str">
        <f>VLOOKUP(E73,'[1]202501入账'!$A:$F,5,0)</f>
        <v>KA销售中心</v>
      </c>
      <c r="G73" s="9" t="str">
        <f>VLOOKUP(E73,'[1]202501入账'!$A:$F,6,0)</f>
        <v>渠道合作组-西南区</v>
      </c>
      <c r="H73" s="2" t="s">
        <v>1</v>
      </c>
      <c r="I73" s="6">
        <v>45662.7430555556</v>
      </c>
      <c r="J73" s="3">
        <v>45662</v>
      </c>
      <c r="K73" s="3">
        <v>45663</v>
      </c>
      <c r="L73" s="2" t="s">
        <v>776</v>
      </c>
      <c r="M73" s="2" t="s">
        <v>978</v>
      </c>
      <c r="N73" s="2" t="s">
        <v>979</v>
      </c>
      <c r="O73" s="2" t="s">
        <v>980</v>
      </c>
      <c r="P73" s="5">
        <v>0</v>
      </c>
      <c r="Q73" s="5">
        <v>137</v>
      </c>
      <c r="R73" s="2">
        <v>1</v>
      </c>
      <c r="S73" s="2" t="s">
        <v>722</v>
      </c>
      <c r="T73" s="2">
        <v>1</v>
      </c>
      <c r="U73" s="5">
        <v>125</v>
      </c>
      <c r="V73" s="5">
        <v>7.5</v>
      </c>
      <c r="W73" s="2" t="s">
        <v>1</v>
      </c>
      <c r="X73" s="2" t="s">
        <v>723</v>
      </c>
      <c r="Y73" s="2" t="s">
        <v>724</v>
      </c>
      <c r="Z73" s="2" t="s">
        <v>1</v>
      </c>
      <c r="AA73" s="2" t="s">
        <v>1</v>
      </c>
      <c r="AB73" s="2" t="s">
        <v>1</v>
      </c>
      <c r="AC73" s="2" t="s">
        <v>1</v>
      </c>
      <c r="AD73" s="2" t="s">
        <v>1</v>
      </c>
      <c r="AE73" s="2" t="s">
        <v>1</v>
      </c>
      <c r="AF73" s="2" t="s">
        <v>981</v>
      </c>
      <c r="AG73" s="2" t="s">
        <v>101</v>
      </c>
      <c r="AH73" s="5">
        <v>0</v>
      </c>
      <c r="AI73" s="5">
        <v>132.5</v>
      </c>
      <c r="AJ73" s="5">
        <v>0</v>
      </c>
    </row>
    <row r="74" ht="17.5" customHeight="1" spans="1:36">
      <c r="A74" s="2" t="s">
        <v>982</v>
      </c>
      <c r="B74" s="2" t="s">
        <v>727</v>
      </c>
      <c r="C74" s="2" t="s">
        <v>442</v>
      </c>
      <c r="D74" s="2" t="s">
        <v>443</v>
      </c>
      <c r="E74" s="2" t="s">
        <v>443</v>
      </c>
      <c r="F74" s="9" t="str">
        <f>VLOOKUP(E74,'[1]202501入账'!$A:$F,5,0)</f>
        <v>运营支持中心</v>
      </c>
      <c r="G74" s="9" t="str">
        <f>VLOOKUP(E74,'[1]202501入账'!$A:$F,6,0)</f>
        <v>新零售服务二组</v>
      </c>
      <c r="H74" s="2" t="s">
        <v>1</v>
      </c>
      <c r="I74" s="6">
        <v>45663.4722222222</v>
      </c>
      <c r="J74" s="3">
        <v>45663</v>
      </c>
      <c r="K74" s="3">
        <v>45664</v>
      </c>
      <c r="L74" s="2" t="s">
        <v>947</v>
      </c>
      <c r="M74" s="2" t="s">
        <v>948</v>
      </c>
      <c r="N74" s="2" t="s">
        <v>949</v>
      </c>
      <c r="O74" s="2" t="s">
        <v>758</v>
      </c>
      <c r="P74" s="5">
        <v>0</v>
      </c>
      <c r="Q74" s="5">
        <v>253</v>
      </c>
      <c r="R74" s="2">
        <v>1</v>
      </c>
      <c r="S74" s="2" t="s">
        <v>741</v>
      </c>
      <c r="T74" s="2">
        <v>1</v>
      </c>
      <c r="U74" s="5">
        <v>250</v>
      </c>
      <c r="V74" s="5">
        <v>15</v>
      </c>
      <c r="W74" s="2" t="s">
        <v>1</v>
      </c>
      <c r="X74" s="2" t="s">
        <v>723</v>
      </c>
      <c r="Y74" s="2" t="s">
        <v>724</v>
      </c>
      <c r="Z74" s="2" t="s">
        <v>1</v>
      </c>
      <c r="AA74" s="2" t="s">
        <v>1</v>
      </c>
      <c r="AB74" s="2" t="s">
        <v>1</v>
      </c>
      <c r="AC74" s="2" t="s">
        <v>1</v>
      </c>
      <c r="AD74" s="2" t="s">
        <v>1</v>
      </c>
      <c r="AE74" s="2" t="s">
        <v>1</v>
      </c>
      <c r="AF74" s="2" t="s">
        <v>983</v>
      </c>
      <c r="AG74" s="2" t="s">
        <v>101</v>
      </c>
      <c r="AH74" s="5">
        <v>0</v>
      </c>
      <c r="AI74" s="5">
        <v>265</v>
      </c>
      <c r="AJ74" s="5">
        <v>0</v>
      </c>
    </row>
    <row r="75" ht="17.5" customHeight="1" spans="1:36">
      <c r="A75" s="2" t="s">
        <v>984</v>
      </c>
      <c r="B75" s="2" t="s">
        <v>727</v>
      </c>
      <c r="C75" s="2" t="s">
        <v>674</v>
      </c>
      <c r="D75" s="2" t="s">
        <v>675</v>
      </c>
      <c r="E75" s="2" t="s">
        <v>675</v>
      </c>
      <c r="F75" s="9" t="str">
        <f>VLOOKUP(E75,'[1]202501入账'!$A:$F,5,0)</f>
        <v>KA销售中心</v>
      </c>
      <c r="G75" s="9" t="str">
        <f>VLOOKUP(E75,'[1]202501入账'!$A:$F,6,0)</f>
        <v>渠道合作组-西南区</v>
      </c>
      <c r="H75" s="2" t="s">
        <v>1</v>
      </c>
      <c r="I75" s="6">
        <v>45663.8555555556</v>
      </c>
      <c r="J75" s="3">
        <v>45663</v>
      </c>
      <c r="K75" s="3">
        <v>45664</v>
      </c>
      <c r="L75" s="2" t="s">
        <v>776</v>
      </c>
      <c r="M75" s="2" t="s">
        <v>978</v>
      </c>
      <c r="N75" s="2" t="s">
        <v>979</v>
      </c>
      <c r="O75" s="2" t="s">
        <v>985</v>
      </c>
      <c r="P75" s="5">
        <v>0</v>
      </c>
      <c r="Q75" s="5">
        <v>129</v>
      </c>
      <c r="R75" s="2">
        <v>1</v>
      </c>
      <c r="S75" s="2" t="s">
        <v>722</v>
      </c>
      <c r="T75" s="2">
        <v>1</v>
      </c>
      <c r="U75" s="5">
        <v>118</v>
      </c>
      <c r="V75" s="5">
        <v>7.08</v>
      </c>
      <c r="W75" s="2" t="s">
        <v>1</v>
      </c>
      <c r="X75" s="2" t="s">
        <v>723</v>
      </c>
      <c r="Y75" s="2" t="s">
        <v>724</v>
      </c>
      <c r="Z75" s="2" t="s">
        <v>1</v>
      </c>
      <c r="AA75" s="2" t="s">
        <v>1</v>
      </c>
      <c r="AB75" s="2" t="s">
        <v>1</v>
      </c>
      <c r="AC75" s="2" t="s">
        <v>1</v>
      </c>
      <c r="AD75" s="2" t="s">
        <v>1</v>
      </c>
      <c r="AE75" s="2" t="s">
        <v>1</v>
      </c>
      <c r="AF75" s="2" t="s">
        <v>981</v>
      </c>
      <c r="AG75" s="2" t="s">
        <v>101</v>
      </c>
      <c r="AH75" s="5">
        <v>0</v>
      </c>
      <c r="AI75" s="5">
        <v>125.08</v>
      </c>
      <c r="AJ75" s="5">
        <v>0</v>
      </c>
    </row>
    <row r="76" ht="17.5" customHeight="1" spans="1:36">
      <c r="A76" s="2" t="s">
        <v>986</v>
      </c>
      <c r="B76" s="2" t="s">
        <v>727</v>
      </c>
      <c r="C76" s="2" t="s">
        <v>867</v>
      </c>
      <c r="D76" s="2" t="s">
        <v>868</v>
      </c>
      <c r="E76" s="2" t="s">
        <v>868</v>
      </c>
      <c r="F76" s="9" t="str">
        <f>VLOOKUP(E76,'[1]202501入账'!$A:$F,5,0)</f>
        <v>KA销售中心</v>
      </c>
      <c r="G76" s="9" t="str">
        <f>VLOOKUP(E76,'[1]202501入账'!$A:$F,6,0)</f>
        <v>KA销售组</v>
      </c>
      <c r="H76" s="2" t="s">
        <v>1</v>
      </c>
      <c r="I76" s="6">
        <v>45664.7979166667</v>
      </c>
      <c r="J76" s="3">
        <v>45664</v>
      </c>
      <c r="K76" s="3">
        <v>45665</v>
      </c>
      <c r="L76" s="2" t="s">
        <v>776</v>
      </c>
      <c r="M76" s="2" t="s">
        <v>987</v>
      </c>
      <c r="N76" s="2" t="s">
        <v>988</v>
      </c>
      <c r="O76" s="2" t="s">
        <v>786</v>
      </c>
      <c r="P76" s="5">
        <v>0</v>
      </c>
      <c r="Q76" s="5">
        <v>253</v>
      </c>
      <c r="R76" s="2">
        <v>1</v>
      </c>
      <c r="S76" s="2" t="s">
        <v>780</v>
      </c>
      <c r="T76" s="2">
        <v>1</v>
      </c>
      <c r="U76" s="5">
        <v>253</v>
      </c>
      <c r="V76" s="5">
        <v>0</v>
      </c>
      <c r="W76" s="2" t="s">
        <v>1</v>
      </c>
      <c r="X76" s="2" t="s">
        <v>723</v>
      </c>
      <c r="Y76" s="2" t="s">
        <v>724</v>
      </c>
      <c r="Z76" s="2" t="s">
        <v>1</v>
      </c>
      <c r="AA76" s="2" t="s">
        <v>1</v>
      </c>
      <c r="AB76" s="2" t="s">
        <v>1</v>
      </c>
      <c r="AC76" s="2" t="s">
        <v>1</v>
      </c>
      <c r="AD76" s="2" t="s">
        <v>1</v>
      </c>
      <c r="AE76" s="2" t="s">
        <v>1</v>
      </c>
      <c r="AF76" s="2" t="s">
        <v>989</v>
      </c>
      <c r="AG76" s="2" t="s">
        <v>101</v>
      </c>
      <c r="AH76" s="5">
        <v>0</v>
      </c>
      <c r="AI76" s="5">
        <v>253</v>
      </c>
      <c r="AJ76" s="5">
        <v>0</v>
      </c>
    </row>
    <row r="77" ht="17.5" customHeight="1" spans="1:36">
      <c r="A77" s="2" t="s">
        <v>990</v>
      </c>
      <c r="B77" s="2" t="s">
        <v>727</v>
      </c>
      <c r="C77" s="2" t="s">
        <v>296</v>
      </c>
      <c r="D77" s="2" t="s">
        <v>297</v>
      </c>
      <c r="E77" s="2" t="s">
        <v>298</v>
      </c>
      <c r="F77" s="9" t="str">
        <f>VLOOKUP(E77,'[1]202501入账'!$A:$F,5,0)</f>
        <v>中心负责人</v>
      </c>
      <c r="G77" s="9" t="str">
        <f>VLOOKUP(E77,'[1]202501入账'!$A:$F,6,0)</f>
        <v/>
      </c>
      <c r="H77" s="2" t="s">
        <v>1</v>
      </c>
      <c r="I77" s="6">
        <v>45664.8597222222</v>
      </c>
      <c r="J77" s="3">
        <v>45664</v>
      </c>
      <c r="K77" s="3">
        <v>45665</v>
      </c>
      <c r="L77" s="2" t="s">
        <v>770</v>
      </c>
      <c r="M77" s="2" t="s">
        <v>991</v>
      </c>
      <c r="N77" s="2" t="s">
        <v>992</v>
      </c>
      <c r="O77" s="2" t="s">
        <v>721</v>
      </c>
      <c r="P77" s="5">
        <v>0</v>
      </c>
      <c r="Q77" s="5">
        <v>583</v>
      </c>
      <c r="R77" s="2">
        <v>1</v>
      </c>
      <c r="S77" s="2" t="s">
        <v>741</v>
      </c>
      <c r="T77" s="2">
        <v>1</v>
      </c>
      <c r="U77" s="5">
        <v>583</v>
      </c>
      <c r="V77" s="5">
        <v>0</v>
      </c>
      <c r="W77" s="2" t="s">
        <v>1</v>
      </c>
      <c r="X77" s="2" t="s">
        <v>723</v>
      </c>
      <c r="Y77" s="2" t="s">
        <v>724</v>
      </c>
      <c r="Z77" s="2" t="s">
        <v>1</v>
      </c>
      <c r="AA77" s="2" t="s">
        <v>1</v>
      </c>
      <c r="AB77" s="2" t="s">
        <v>1</v>
      </c>
      <c r="AC77" s="2" t="s">
        <v>1</v>
      </c>
      <c r="AD77" s="2" t="s">
        <v>1</v>
      </c>
      <c r="AE77" s="2" t="s">
        <v>1</v>
      </c>
      <c r="AF77" s="2" t="s">
        <v>1</v>
      </c>
      <c r="AG77" s="2" t="s">
        <v>101</v>
      </c>
      <c r="AH77" s="5">
        <v>0</v>
      </c>
      <c r="AI77" s="5">
        <v>583</v>
      </c>
      <c r="AJ77" s="5">
        <v>0</v>
      </c>
    </row>
    <row r="78" ht="17.5" customHeight="1" spans="1:36">
      <c r="A78" s="2" t="s">
        <v>993</v>
      </c>
      <c r="B78" s="2" t="s">
        <v>727</v>
      </c>
      <c r="C78" s="2" t="s">
        <v>219</v>
      </c>
      <c r="D78" s="2" t="s">
        <v>220</v>
      </c>
      <c r="E78" s="2" t="s">
        <v>220</v>
      </c>
      <c r="F78" s="9" t="str">
        <f>VLOOKUP(E78,'[1]202501入账'!$A:$F,5,0)</f>
        <v>自营销售中心</v>
      </c>
      <c r="G78" s="9" t="str">
        <f>VLOOKUP(E78,'[1]202501入账'!$A:$F,6,0)</f>
        <v>短剧组</v>
      </c>
      <c r="H78" s="2" t="s">
        <v>1</v>
      </c>
      <c r="I78" s="6">
        <v>45665.0604166667</v>
      </c>
      <c r="J78" s="3">
        <v>45665</v>
      </c>
      <c r="K78" s="3">
        <v>45666</v>
      </c>
      <c r="L78" s="2" t="s">
        <v>746</v>
      </c>
      <c r="M78" s="2" t="s">
        <v>939</v>
      </c>
      <c r="N78" s="2" t="s">
        <v>940</v>
      </c>
      <c r="O78" s="2" t="s">
        <v>749</v>
      </c>
      <c r="P78" s="5">
        <v>0</v>
      </c>
      <c r="Q78" s="5">
        <v>332</v>
      </c>
      <c r="R78" s="2">
        <v>1</v>
      </c>
      <c r="S78" s="2" t="s">
        <v>741</v>
      </c>
      <c r="T78" s="2">
        <v>1</v>
      </c>
      <c r="U78" s="5">
        <v>300</v>
      </c>
      <c r="V78" s="5">
        <v>0</v>
      </c>
      <c r="W78" s="2" t="s">
        <v>1</v>
      </c>
      <c r="X78" s="2" t="s">
        <v>723</v>
      </c>
      <c r="Y78" s="2" t="s">
        <v>724</v>
      </c>
      <c r="Z78" s="2" t="s">
        <v>1</v>
      </c>
      <c r="AA78" s="2" t="s">
        <v>1</v>
      </c>
      <c r="AB78" s="2" t="s">
        <v>1</v>
      </c>
      <c r="AC78" s="2" t="s">
        <v>1</v>
      </c>
      <c r="AD78" s="2" t="s">
        <v>1</v>
      </c>
      <c r="AE78" s="2" t="s">
        <v>1</v>
      </c>
      <c r="AF78" s="2" t="s">
        <v>994</v>
      </c>
      <c r="AG78" s="2" t="s">
        <v>101</v>
      </c>
      <c r="AH78" s="5">
        <v>0</v>
      </c>
      <c r="AI78" s="5">
        <v>300</v>
      </c>
      <c r="AJ78" s="5">
        <v>0</v>
      </c>
    </row>
    <row r="79" ht="17.5" customHeight="1" spans="1:36">
      <c r="A79" s="2" t="s">
        <v>995</v>
      </c>
      <c r="B79" s="2" t="s">
        <v>727</v>
      </c>
      <c r="C79" s="2" t="s">
        <v>526</v>
      </c>
      <c r="D79" s="2" t="s">
        <v>527</v>
      </c>
      <c r="E79" s="2" t="s">
        <v>527</v>
      </c>
      <c r="F79" s="9" t="str">
        <f>VLOOKUP(E79,'[1]202501入账'!$A:$F,5,0)</f>
        <v>KA销售中心</v>
      </c>
      <c r="G79" s="9" t="str">
        <f>VLOOKUP(E79,'[1]202501入账'!$A:$F,6,0)</f>
        <v>渠道合作组-华南区</v>
      </c>
      <c r="H79" s="2" t="s">
        <v>1</v>
      </c>
      <c r="I79" s="6">
        <v>45665.3916666667</v>
      </c>
      <c r="J79" s="3">
        <v>45665</v>
      </c>
      <c r="K79" s="3">
        <v>45666</v>
      </c>
      <c r="L79" s="2" t="s">
        <v>783</v>
      </c>
      <c r="M79" s="2" t="s">
        <v>784</v>
      </c>
      <c r="N79" s="2" t="s">
        <v>785</v>
      </c>
      <c r="O79" s="2" t="s">
        <v>786</v>
      </c>
      <c r="P79" s="5">
        <v>0</v>
      </c>
      <c r="Q79" s="5">
        <v>268</v>
      </c>
      <c r="R79" s="2">
        <v>1</v>
      </c>
      <c r="S79" s="2" t="s">
        <v>741</v>
      </c>
      <c r="T79" s="2">
        <v>1</v>
      </c>
      <c r="U79" s="5">
        <v>268</v>
      </c>
      <c r="V79" s="5">
        <v>0</v>
      </c>
      <c r="W79" s="2" t="s">
        <v>1</v>
      </c>
      <c r="X79" s="2" t="s">
        <v>723</v>
      </c>
      <c r="Y79" s="2" t="s">
        <v>724</v>
      </c>
      <c r="Z79" s="2" t="s">
        <v>1</v>
      </c>
      <c r="AA79" s="2" t="s">
        <v>1</v>
      </c>
      <c r="AB79" s="2" t="s">
        <v>1</v>
      </c>
      <c r="AC79" s="2" t="s">
        <v>1</v>
      </c>
      <c r="AD79" s="2" t="s">
        <v>1</v>
      </c>
      <c r="AE79" s="2" t="s">
        <v>1</v>
      </c>
      <c r="AF79" s="2" t="s">
        <v>787</v>
      </c>
      <c r="AG79" s="2" t="s">
        <v>101</v>
      </c>
      <c r="AH79" s="5">
        <v>0</v>
      </c>
      <c r="AI79" s="5">
        <v>268</v>
      </c>
      <c r="AJ79" s="5">
        <v>0</v>
      </c>
    </row>
    <row r="80" ht="17.5" customHeight="1" spans="1:36">
      <c r="A80" s="2" t="s">
        <v>996</v>
      </c>
      <c r="B80" s="2" t="s">
        <v>727</v>
      </c>
      <c r="C80" s="2" t="s">
        <v>282</v>
      </c>
      <c r="D80" s="2" t="s">
        <v>283</v>
      </c>
      <c r="E80" s="2" t="s">
        <v>283</v>
      </c>
      <c r="F80" s="9" t="str">
        <f>VLOOKUP(E80,'[1]202501入账'!$A:$F,5,0)</f>
        <v>KA销售中心</v>
      </c>
      <c r="G80" s="9" t="str">
        <f>VLOOKUP(E80,'[1]202501入账'!$A:$F,6,0)</f>
        <v>渠道合作组-华北区</v>
      </c>
      <c r="H80" s="2" t="s">
        <v>1</v>
      </c>
      <c r="I80" s="6">
        <v>45665.44375</v>
      </c>
      <c r="J80" s="3">
        <v>45665</v>
      </c>
      <c r="K80" s="3">
        <v>45666</v>
      </c>
      <c r="L80" s="2" t="s">
        <v>752</v>
      </c>
      <c r="M80" s="2" t="s">
        <v>753</v>
      </c>
      <c r="N80" s="2" t="s">
        <v>754</v>
      </c>
      <c r="O80" s="2" t="s">
        <v>755</v>
      </c>
      <c r="P80" s="5">
        <v>0</v>
      </c>
      <c r="Q80" s="5">
        <v>242</v>
      </c>
      <c r="R80" s="2">
        <v>1</v>
      </c>
      <c r="S80" s="2" t="s">
        <v>741</v>
      </c>
      <c r="T80" s="2">
        <v>1</v>
      </c>
      <c r="U80" s="5">
        <v>242</v>
      </c>
      <c r="V80" s="5">
        <v>14.52</v>
      </c>
      <c r="W80" s="2" t="s">
        <v>1</v>
      </c>
      <c r="X80" s="2" t="s">
        <v>723</v>
      </c>
      <c r="Y80" s="2" t="s">
        <v>724</v>
      </c>
      <c r="Z80" s="2" t="s">
        <v>1</v>
      </c>
      <c r="AA80" s="2" t="s">
        <v>1</v>
      </c>
      <c r="AB80" s="2" t="s">
        <v>1</v>
      </c>
      <c r="AC80" s="2" t="s">
        <v>1</v>
      </c>
      <c r="AD80" s="2" t="s">
        <v>1</v>
      </c>
      <c r="AE80" s="2" t="s">
        <v>1</v>
      </c>
      <c r="AF80" s="2" t="s">
        <v>799</v>
      </c>
      <c r="AG80" s="2" t="s">
        <v>101</v>
      </c>
      <c r="AH80" s="5">
        <v>0</v>
      </c>
      <c r="AI80" s="5">
        <v>256.52</v>
      </c>
      <c r="AJ80" s="5">
        <v>0</v>
      </c>
    </row>
    <row r="81" ht="17.5" customHeight="1" spans="1:36">
      <c r="A81" s="2" t="s">
        <v>997</v>
      </c>
      <c r="B81" s="2" t="s">
        <v>727</v>
      </c>
      <c r="C81" s="2" t="s">
        <v>716</v>
      </c>
      <c r="D81" s="2" t="s">
        <v>717</v>
      </c>
      <c r="E81" s="2" t="s">
        <v>717</v>
      </c>
      <c r="F81" s="9" t="str">
        <f>VLOOKUP(E81,'[1]202501入账'!$A:$F,5,0)</f>
        <v>KA销售中心</v>
      </c>
      <c r="G81" s="9" t="str">
        <f>VLOOKUP(E81,'[1]202501入账'!$A:$F,6,0)</f>
        <v>KA销售组</v>
      </c>
      <c r="H81" s="2" t="s">
        <v>1</v>
      </c>
      <c r="I81" s="6">
        <v>45665.4513888889</v>
      </c>
      <c r="J81" s="3">
        <v>45665</v>
      </c>
      <c r="K81" s="3">
        <v>45666</v>
      </c>
      <c r="L81" s="2" t="s">
        <v>718</v>
      </c>
      <c r="M81" s="2" t="s">
        <v>998</v>
      </c>
      <c r="N81" s="2" t="s">
        <v>999</v>
      </c>
      <c r="O81" s="2" t="s">
        <v>721</v>
      </c>
      <c r="P81" s="5">
        <v>0</v>
      </c>
      <c r="Q81" s="5">
        <v>141</v>
      </c>
      <c r="R81" s="2">
        <v>1</v>
      </c>
      <c r="S81" s="2" t="s">
        <v>741</v>
      </c>
      <c r="T81" s="2">
        <v>1</v>
      </c>
      <c r="U81" s="5">
        <v>141</v>
      </c>
      <c r="V81" s="5">
        <v>8.46</v>
      </c>
      <c r="W81" s="2" t="s">
        <v>1</v>
      </c>
      <c r="X81" s="2" t="s">
        <v>723</v>
      </c>
      <c r="Y81" s="2" t="s">
        <v>724</v>
      </c>
      <c r="Z81" s="2" t="s">
        <v>1</v>
      </c>
      <c r="AA81" s="2" t="s">
        <v>1</v>
      </c>
      <c r="AB81" s="2" t="s">
        <v>1</v>
      </c>
      <c r="AC81" s="2" t="s">
        <v>1</v>
      </c>
      <c r="AD81" s="2" t="s">
        <v>1</v>
      </c>
      <c r="AE81" s="2" t="s">
        <v>1</v>
      </c>
      <c r="AF81" s="2" t="s">
        <v>1000</v>
      </c>
      <c r="AG81" s="2" t="s">
        <v>101</v>
      </c>
      <c r="AH81" s="5">
        <v>0</v>
      </c>
      <c r="AI81" s="5">
        <v>149.46</v>
      </c>
      <c r="AJ81" s="5">
        <v>0</v>
      </c>
    </row>
    <row r="82" ht="17.5" customHeight="1" spans="1:36">
      <c r="A82" s="2" t="s">
        <v>1001</v>
      </c>
      <c r="B82" s="2" t="s">
        <v>727</v>
      </c>
      <c r="C82" s="2" t="s">
        <v>729</v>
      </c>
      <c r="D82" s="2" t="s">
        <v>730</v>
      </c>
      <c r="E82" s="2" t="s">
        <v>730</v>
      </c>
      <c r="F82" s="9" t="str">
        <f>VLOOKUP(E82,'[1]202501入账'!$A:$F,5,0)</f>
        <v>KA销售中心</v>
      </c>
      <c r="G82" s="9" t="str">
        <f>VLOOKUP(E82,'[1]202501入账'!$A:$F,6,0)</f>
        <v>KA销售组</v>
      </c>
      <c r="H82" s="2" t="s">
        <v>1</v>
      </c>
      <c r="I82" s="6">
        <v>45665.4923611111</v>
      </c>
      <c r="J82" s="3">
        <v>45665</v>
      </c>
      <c r="K82" s="3">
        <v>45666</v>
      </c>
      <c r="L82" s="2" t="s">
        <v>718</v>
      </c>
      <c r="M82" s="2" t="s">
        <v>1002</v>
      </c>
      <c r="N82" s="2" t="s">
        <v>1003</v>
      </c>
      <c r="O82" s="2" t="s">
        <v>1004</v>
      </c>
      <c r="P82" s="5">
        <v>0</v>
      </c>
      <c r="Q82" s="5">
        <v>243</v>
      </c>
      <c r="R82" s="2">
        <v>1</v>
      </c>
      <c r="S82" s="2" t="s">
        <v>741</v>
      </c>
      <c r="T82" s="2">
        <v>1</v>
      </c>
      <c r="U82" s="5">
        <v>243</v>
      </c>
      <c r="V82" s="5">
        <v>14.58</v>
      </c>
      <c r="W82" s="2" t="s">
        <v>1</v>
      </c>
      <c r="X82" s="2" t="s">
        <v>723</v>
      </c>
      <c r="Y82" s="2" t="s">
        <v>724</v>
      </c>
      <c r="Z82" s="2" t="s">
        <v>1</v>
      </c>
      <c r="AA82" s="2" t="s">
        <v>1</v>
      </c>
      <c r="AB82" s="2" t="s">
        <v>1</v>
      </c>
      <c r="AC82" s="2" t="s">
        <v>1</v>
      </c>
      <c r="AD82" s="2" t="s">
        <v>1</v>
      </c>
      <c r="AE82" s="2" t="s">
        <v>1</v>
      </c>
      <c r="AF82" s="2" t="s">
        <v>1005</v>
      </c>
      <c r="AG82" s="2" t="s">
        <v>101</v>
      </c>
      <c r="AH82" s="5">
        <v>0</v>
      </c>
      <c r="AI82" s="5">
        <v>257.58</v>
      </c>
      <c r="AJ82" s="5">
        <v>0</v>
      </c>
    </row>
    <row r="83" ht="17.5" customHeight="1" spans="1:36">
      <c r="A83" s="2" t="s">
        <v>1006</v>
      </c>
      <c r="B83" s="2" t="s">
        <v>727</v>
      </c>
      <c r="C83" s="2" t="s">
        <v>774</v>
      </c>
      <c r="D83" s="2" t="s">
        <v>775</v>
      </c>
      <c r="E83" s="2" t="s">
        <v>775</v>
      </c>
      <c r="F83" s="9" t="str">
        <f>VLOOKUP(E83,'[1]202501入账'!$A:$F,5,0)</f>
        <v>KA销售中心</v>
      </c>
      <c r="G83" s="9" t="str">
        <f>VLOOKUP(E83,'[1]202501入账'!$A:$F,6,0)</f>
        <v>KA销售组</v>
      </c>
      <c r="H83" s="2" t="s">
        <v>1</v>
      </c>
      <c r="I83" s="6">
        <v>45665.6013888889</v>
      </c>
      <c r="J83" s="3">
        <v>45665</v>
      </c>
      <c r="K83" s="3">
        <v>45666</v>
      </c>
      <c r="L83" s="2" t="s">
        <v>776</v>
      </c>
      <c r="M83" s="2" t="s">
        <v>794</v>
      </c>
      <c r="N83" s="2" t="s">
        <v>795</v>
      </c>
      <c r="O83" s="2" t="s">
        <v>786</v>
      </c>
      <c r="P83" s="5">
        <v>0</v>
      </c>
      <c r="Q83" s="5">
        <v>240</v>
      </c>
      <c r="R83" s="2">
        <v>1</v>
      </c>
      <c r="S83" s="2" t="s">
        <v>741</v>
      </c>
      <c r="T83" s="2">
        <v>1</v>
      </c>
      <c r="U83" s="5">
        <v>240</v>
      </c>
      <c r="V83" s="5">
        <v>14.4</v>
      </c>
      <c r="W83" s="2" t="s">
        <v>1</v>
      </c>
      <c r="X83" s="2" t="s">
        <v>723</v>
      </c>
      <c r="Y83" s="2" t="s">
        <v>724</v>
      </c>
      <c r="Z83" s="2" t="s">
        <v>1</v>
      </c>
      <c r="AA83" s="2" t="s">
        <v>1</v>
      </c>
      <c r="AB83" s="2" t="s">
        <v>1</v>
      </c>
      <c r="AC83" s="2" t="s">
        <v>1</v>
      </c>
      <c r="AD83" s="2" t="s">
        <v>1</v>
      </c>
      <c r="AE83" s="2" t="s">
        <v>1</v>
      </c>
      <c r="AF83" s="2" t="s">
        <v>781</v>
      </c>
      <c r="AG83" s="2" t="s">
        <v>101</v>
      </c>
      <c r="AH83" s="5">
        <v>0</v>
      </c>
      <c r="AI83" s="5">
        <v>254.4</v>
      </c>
      <c r="AJ83" s="5">
        <v>0</v>
      </c>
    </row>
    <row r="84" ht="17.5" customHeight="1" spans="1:36">
      <c r="A84" s="2" t="s">
        <v>1007</v>
      </c>
      <c r="B84" s="2" t="s">
        <v>727</v>
      </c>
      <c r="C84" s="2" t="s">
        <v>931</v>
      </c>
      <c r="D84" s="2" t="s">
        <v>932</v>
      </c>
      <c r="E84" s="2" t="s">
        <v>932</v>
      </c>
      <c r="F84" s="9" t="str">
        <f>VLOOKUP(E84,'[1]202501入账'!$A:$F,5,0)</f>
        <v>KA销售中心</v>
      </c>
      <c r="G84" s="9" t="str">
        <f>VLOOKUP(E84,'[1]202501入账'!$A:$F,6,0)</f>
        <v>渠道合作组-西南区</v>
      </c>
      <c r="H84" s="2" t="s">
        <v>1</v>
      </c>
      <c r="I84" s="6">
        <v>45665.6666666667</v>
      </c>
      <c r="J84" s="3">
        <v>45665</v>
      </c>
      <c r="K84" s="3">
        <v>45666</v>
      </c>
      <c r="L84" s="2" t="s">
        <v>1008</v>
      </c>
      <c r="M84" s="2" t="s">
        <v>1009</v>
      </c>
      <c r="N84" s="2" t="s">
        <v>1010</v>
      </c>
      <c r="O84" s="2" t="s">
        <v>1011</v>
      </c>
      <c r="P84" s="5">
        <v>0</v>
      </c>
      <c r="Q84" s="5">
        <v>218</v>
      </c>
      <c r="R84" s="2">
        <v>1</v>
      </c>
      <c r="S84" s="2" t="s">
        <v>741</v>
      </c>
      <c r="T84" s="2">
        <v>1</v>
      </c>
      <c r="U84" s="5">
        <v>218</v>
      </c>
      <c r="V84" s="5">
        <v>13.08</v>
      </c>
      <c r="W84" s="2" t="s">
        <v>1</v>
      </c>
      <c r="X84" s="2" t="s">
        <v>723</v>
      </c>
      <c r="Y84" s="2" t="s">
        <v>724</v>
      </c>
      <c r="Z84" s="2" t="s">
        <v>1</v>
      </c>
      <c r="AA84" s="2" t="s">
        <v>1</v>
      </c>
      <c r="AB84" s="2" t="s">
        <v>1</v>
      </c>
      <c r="AC84" s="2" t="s">
        <v>1</v>
      </c>
      <c r="AD84" s="2" t="s">
        <v>1</v>
      </c>
      <c r="AE84" s="2" t="s">
        <v>1</v>
      </c>
      <c r="AF84" s="2" t="s">
        <v>1012</v>
      </c>
      <c r="AG84" s="2" t="s">
        <v>101</v>
      </c>
      <c r="AH84" s="5">
        <v>0</v>
      </c>
      <c r="AI84" s="5">
        <v>231.08</v>
      </c>
      <c r="AJ84" s="5">
        <v>0</v>
      </c>
    </row>
    <row r="85" ht="17.5" customHeight="1" spans="1:36">
      <c r="A85" s="2" t="s">
        <v>1013</v>
      </c>
      <c r="B85" s="2" t="s">
        <v>727</v>
      </c>
      <c r="C85" s="2" t="s">
        <v>549</v>
      </c>
      <c r="D85" s="2" t="s">
        <v>550</v>
      </c>
      <c r="E85" s="2" t="s">
        <v>550</v>
      </c>
      <c r="F85" s="9" t="str">
        <f>VLOOKUP(E85,'[1]202501入账'!$A:$F,5,0)</f>
        <v>KA销售中心</v>
      </c>
      <c r="G85" s="9" t="str">
        <f>VLOOKUP(E85,'[1]202501入账'!$A:$F,6,0)</f>
        <v>渠道合作组-华南区</v>
      </c>
      <c r="H85" s="2" t="s">
        <v>1</v>
      </c>
      <c r="I85" s="6">
        <v>45665.9652777778</v>
      </c>
      <c r="J85" s="3">
        <v>45666</v>
      </c>
      <c r="K85" s="3">
        <v>45667</v>
      </c>
      <c r="L85" s="2" t="s">
        <v>1014</v>
      </c>
      <c r="M85" s="2" t="s">
        <v>1015</v>
      </c>
      <c r="N85" s="2" t="s">
        <v>1016</v>
      </c>
      <c r="O85" s="2" t="s">
        <v>1017</v>
      </c>
      <c r="P85" s="5">
        <v>0</v>
      </c>
      <c r="Q85" s="5">
        <v>336</v>
      </c>
      <c r="R85" s="2">
        <v>1</v>
      </c>
      <c r="S85" s="2" t="s">
        <v>741</v>
      </c>
      <c r="T85" s="2">
        <v>1</v>
      </c>
      <c r="U85" s="5">
        <v>336</v>
      </c>
      <c r="V85" s="5">
        <v>0</v>
      </c>
      <c r="W85" s="2" t="s">
        <v>1</v>
      </c>
      <c r="X85" s="2" t="s">
        <v>723</v>
      </c>
      <c r="Y85" s="2" t="s">
        <v>724</v>
      </c>
      <c r="Z85" s="2" t="s">
        <v>1</v>
      </c>
      <c r="AA85" s="2" t="s">
        <v>1</v>
      </c>
      <c r="AB85" s="2" t="s">
        <v>1</v>
      </c>
      <c r="AC85" s="2" t="s">
        <v>1</v>
      </c>
      <c r="AD85" s="2" t="s">
        <v>1</v>
      </c>
      <c r="AE85" s="2" t="s">
        <v>1</v>
      </c>
      <c r="AF85" s="2" t="s">
        <v>1018</v>
      </c>
      <c r="AG85" s="2" t="s">
        <v>101</v>
      </c>
      <c r="AH85" s="5">
        <v>0</v>
      </c>
      <c r="AI85" s="5">
        <v>336</v>
      </c>
      <c r="AJ85" s="5">
        <v>0</v>
      </c>
    </row>
    <row r="86" ht="17.5" customHeight="1" spans="1:36">
      <c r="A86" s="2" t="s">
        <v>1019</v>
      </c>
      <c r="B86" s="2" t="s">
        <v>727</v>
      </c>
      <c r="C86" s="2" t="s">
        <v>219</v>
      </c>
      <c r="D86" s="2" t="s">
        <v>220</v>
      </c>
      <c r="E86" s="2" t="s">
        <v>220</v>
      </c>
      <c r="F86" s="9" t="str">
        <f>VLOOKUP(E86,'[1]202501入账'!$A:$F,5,0)</f>
        <v>自营销售中心</v>
      </c>
      <c r="G86" s="9" t="str">
        <f>VLOOKUP(E86,'[1]202501入账'!$A:$F,6,0)</f>
        <v>短剧组</v>
      </c>
      <c r="H86" s="2" t="s">
        <v>1</v>
      </c>
      <c r="I86" s="6">
        <v>45666.4722222222</v>
      </c>
      <c r="J86" s="3">
        <v>45666</v>
      </c>
      <c r="K86" s="3">
        <v>45667</v>
      </c>
      <c r="L86" s="2" t="s">
        <v>746</v>
      </c>
      <c r="M86" s="2" t="s">
        <v>939</v>
      </c>
      <c r="N86" s="2" t="s">
        <v>940</v>
      </c>
      <c r="O86" s="2" t="s">
        <v>749</v>
      </c>
      <c r="P86" s="5">
        <v>0</v>
      </c>
      <c r="Q86" s="5">
        <v>356</v>
      </c>
      <c r="R86" s="2">
        <v>1</v>
      </c>
      <c r="S86" s="2" t="s">
        <v>741</v>
      </c>
      <c r="T86" s="2">
        <v>1</v>
      </c>
      <c r="U86" s="5">
        <v>300</v>
      </c>
      <c r="V86" s="5">
        <v>0</v>
      </c>
      <c r="W86" s="2" t="s">
        <v>1</v>
      </c>
      <c r="X86" s="2" t="s">
        <v>723</v>
      </c>
      <c r="Y86" s="2" t="s">
        <v>724</v>
      </c>
      <c r="Z86" s="2" t="s">
        <v>1</v>
      </c>
      <c r="AA86" s="2" t="s">
        <v>1</v>
      </c>
      <c r="AB86" s="2" t="s">
        <v>1</v>
      </c>
      <c r="AC86" s="2" t="s">
        <v>1</v>
      </c>
      <c r="AD86" s="2" t="s">
        <v>1</v>
      </c>
      <c r="AE86" s="2" t="s">
        <v>1</v>
      </c>
      <c r="AF86" s="2" t="s">
        <v>994</v>
      </c>
      <c r="AG86" s="2" t="s">
        <v>101</v>
      </c>
      <c r="AH86" s="5">
        <v>0</v>
      </c>
      <c r="AI86" s="5">
        <v>300</v>
      </c>
      <c r="AJ86" s="5">
        <v>0</v>
      </c>
    </row>
    <row r="87" ht="17.5" customHeight="1" spans="1:36">
      <c r="A87" s="2" t="s">
        <v>1020</v>
      </c>
      <c r="B87" s="2" t="s">
        <v>727</v>
      </c>
      <c r="C87" s="2" t="s">
        <v>716</v>
      </c>
      <c r="D87" s="2" t="s">
        <v>717</v>
      </c>
      <c r="E87" s="2" t="s">
        <v>717</v>
      </c>
      <c r="F87" s="9" t="str">
        <f>VLOOKUP(E87,'[1]202501入账'!$A:$F,5,0)</f>
        <v>KA销售中心</v>
      </c>
      <c r="G87" s="9" t="str">
        <f>VLOOKUP(E87,'[1]202501入账'!$A:$F,6,0)</f>
        <v>KA销售组</v>
      </c>
      <c r="H87" s="2" t="s">
        <v>1</v>
      </c>
      <c r="I87" s="6">
        <v>45666.475</v>
      </c>
      <c r="J87" s="3">
        <v>45666</v>
      </c>
      <c r="K87" s="3">
        <v>45667</v>
      </c>
      <c r="L87" s="2" t="s">
        <v>718</v>
      </c>
      <c r="M87" s="2" t="s">
        <v>998</v>
      </c>
      <c r="N87" s="2" t="s">
        <v>999</v>
      </c>
      <c r="O87" s="2" t="s">
        <v>721</v>
      </c>
      <c r="P87" s="5">
        <v>0</v>
      </c>
      <c r="Q87" s="5">
        <v>147</v>
      </c>
      <c r="R87" s="2">
        <v>1</v>
      </c>
      <c r="S87" s="2" t="s">
        <v>741</v>
      </c>
      <c r="T87" s="2">
        <v>1</v>
      </c>
      <c r="U87" s="5">
        <v>147</v>
      </c>
      <c r="V87" s="5">
        <v>8.82</v>
      </c>
      <c r="W87" s="2" t="s">
        <v>1</v>
      </c>
      <c r="X87" s="2" t="s">
        <v>723</v>
      </c>
      <c r="Y87" s="2" t="s">
        <v>724</v>
      </c>
      <c r="Z87" s="2" t="s">
        <v>1</v>
      </c>
      <c r="AA87" s="2" t="s">
        <v>1</v>
      </c>
      <c r="AB87" s="2" t="s">
        <v>1</v>
      </c>
      <c r="AC87" s="2" t="s">
        <v>1</v>
      </c>
      <c r="AD87" s="2" t="s">
        <v>1</v>
      </c>
      <c r="AE87" s="2" t="s">
        <v>1</v>
      </c>
      <c r="AF87" s="2" t="s">
        <v>1021</v>
      </c>
      <c r="AG87" s="2" t="s">
        <v>101</v>
      </c>
      <c r="AH87" s="5">
        <v>0</v>
      </c>
      <c r="AI87" s="5">
        <v>155.82</v>
      </c>
      <c r="AJ87" s="5">
        <v>0</v>
      </c>
    </row>
    <row r="88" ht="17.5" customHeight="1" spans="1:36">
      <c r="A88" s="2" t="s">
        <v>1022</v>
      </c>
      <c r="B88" s="2" t="s">
        <v>727</v>
      </c>
      <c r="C88" s="2" t="s">
        <v>931</v>
      </c>
      <c r="D88" s="2" t="s">
        <v>932</v>
      </c>
      <c r="E88" s="2" t="s">
        <v>932</v>
      </c>
      <c r="F88" s="9" t="str">
        <f>VLOOKUP(E88,'[1]202501入账'!$A:$F,5,0)</f>
        <v>KA销售中心</v>
      </c>
      <c r="G88" s="9" t="str">
        <f>VLOOKUP(E88,'[1]202501入账'!$A:$F,6,0)</f>
        <v>渠道合作组-西南区</v>
      </c>
      <c r="H88" s="2" t="s">
        <v>1</v>
      </c>
      <c r="I88" s="6">
        <v>45666.6430555556</v>
      </c>
      <c r="J88" s="3">
        <v>45666</v>
      </c>
      <c r="K88" s="3">
        <v>45667</v>
      </c>
      <c r="L88" s="2" t="s">
        <v>776</v>
      </c>
      <c r="M88" s="2" t="s">
        <v>943</v>
      </c>
      <c r="N88" s="2" t="s">
        <v>944</v>
      </c>
      <c r="O88" s="2" t="s">
        <v>749</v>
      </c>
      <c r="P88" s="5">
        <v>0</v>
      </c>
      <c r="Q88" s="5">
        <v>296</v>
      </c>
      <c r="R88" s="2">
        <v>1</v>
      </c>
      <c r="S88" s="2" t="s">
        <v>722</v>
      </c>
      <c r="T88" s="2">
        <v>1</v>
      </c>
      <c r="U88" s="5">
        <v>296</v>
      </c>
      <c r="V88" s="5">
        <v>0</v>
      </c>
      <c r="W88" s="2" t="s">
        <v>1</v>
      </c>
      <c r="X88" s="2" t="s">
        <v>723</v>
      </c>
      <c r="Y88" s="2" t="s">
        <v>724</v>
      </c>
      <c r="Z88" s="2" t="s">
        <v>1</v>
      </c>
      <c r="AA88" s="2" t="s">
        <v>1</v>
      </c>
      <c r="AB88" s="2" t="s">
        <v>1</v>
      </c>
      <c r="AC88" s="2" t="s">
        <v>1</v>
      </c>
      <c r="AD88" s="2" t="s">
        <v>1</v>
      </c>
      <c r="AE88" s="2" t="s">
        <v>1</v>
      </c>
      <c r="AF88" s="2" t="s">
        <v>1023</v>
      </c>
      <c r="AG88" s="2" t="s">
        <v>101</v>
      </c>
      <c r="AH88" s="5">
        <v>0</v>
      </c>
      <c r="AI88" s="5">
        <v>296</v>
      </c>
      <c r="AJ88" s="5">
        <v>0</v>
      </c>
    </row>
    <row r="89" ht="17.5" customHeight="1" spans="1:36">
      <c r="A89" s="2" t="s">
        <v>1024</v>
      </c>
      <c r="B89" s="2" t="s">
        <v>727</v>
      </c>
      <c r="C89" s="2" t="s">
        <v>716</v>
      </c>
      <c r="D89" s="2" t="s">
        <v>717</v>
      </c>
      <c r="E89" s="2" t="s">
        <v>717</v>
      </c>
      <c r="F89" s="9" t="str">
        <f>VLOOKUP(E89,'[1]202501入账'!$A:$F,5,0)</f>
        <v>KA销售中心</v>
      </c>
      <c r="G89" s="9" t="str">
        <f>VLOOKUP(E89,'[1]202501入账'!$A:$F,6,0)</f>
        <v>KA销售组</v>
      </c>
      <c r="H89" s="2" t="s">
        <v>1</v>
      </c>
      <c r="I89" s="6">
        <v>45670.4180555556</v>
      </c>
      <c r="J89" s="3">
        <v>45670</v>
      </c>
      <c r="K89" s="3">
        <v>45671</v>
      </c>
      <c r="L89" s="2" t="s">
        <v>1025</v>
      </c>
      <c r="M89" s="2" t="s">
        <v>1026</v>
      </c>
      <c r="N89" s="2" t="s">
        <v>1027</v>
      </c>
      <c r="O89" s="2" t="s">
        <v>1028</v>
      </c>
      <c r="P89" s="5">
        <v>0</v>
      </c>
      <c r="Q89" s="5">
        <v>193</v>
      </c>
      <c r="R89" s="2">
        <v>1</v>
      </c>
      <c r="S89" s="2" t="s">
        <v>741</v>
      </c>
      <c r="T89" s="2">
        <v>1</v>
      </c>
      <c r="U89" s="5">
        <v>193</v>
      </c>
      <c r="V89" s="5">
        <v>11.58</v>
      </c>
      <c r="W89" s="2" t="s">
        <v>1</v>
      </c>
      <c r="X89" s="2" t="s">
        <v>723</v>
      </c>
      <c r="Y89" s="2" t="s">
        <v>724</v>
      </c>
      <c r="Z89" s="2" t="s">
        <v>1</v>
      </c>
      <c r="AA89" s="2" t="s">
        <v>1</v>
      </c>
      <c r="AB89" s="2" t="s">
        <v>1</v>
      </c>
      <c r="AC89" s="2" t="s">
        <v>1</v>
      </c>
      <c r="AD89" s="2" t="s">
        <v>1</v>
      </c>
      <c r="AE89" s="2" t="s">
        <v>1</v>
      </c>
      <c r="AF89" s="2" t="s">
        <v>1029</v>
      </c>
      <c r="AG89" s="2" t="s">
        <v>101</v>
      </c>
      <c r="AH89" s="5">
        <v>0</v>
      </c>
      <c r="AI89" s="5">
        <v>204.58</v>
      </c>
      <c r="AJ89" s="5">
        <v>0</v>
      </c>
    </row>
    <row r="90" ht="17.5" customHeight="1" spans="1:36">
      <c r="A90" s="2" t="s">
        <v>1030</v>
      </c>
      <c r="B90" s="2" t="s">
        <v>727</v>
      </c>
      <c r="C90" s="2" t="s">
        <v>931</v>
      </c>
      <c r="D90" s="2" t="s">
        <v>932</v>
      </c>
      <c r="E90" s="2" t="s">
        <v>932</v>
      </c>
      <c r="F90" s="9" t="str">
        <f>VLOOKUP(E90,'[1]202501入账'!$A:$F,5,0)</f>
        <v>KA销售中心</v>
      </c>
      <c r="G90" s="9" t="str">
        <f>VLOOKUP(E90,'[1]202501入账'!$A:$F,6,0)</f>
        <v>渠道合作组-西南区</v>
      </c>
      <c r="H90" s="2" t="s">
        <v>1</v>
      </c>
      <c r="I90" s="6">
        <v>45670.5368055556</v>
      </c>
      <c r="J90" s="3">
        <v>45670</v>
      </c>
      <c r="K90" s="3">
        <v>45673</v>
      </c>
      <c r="L90" s="2" t="s">
        <v>828</v>
      </c>
      <c r="M90" s="2" t="s">
        <v>844</v>
      </c>
      <c r="N90" s="2" t="s">
        <v>845</v>
      </c>
      <c r="O90" s="2" t="s">
        <v>911</v>
      </c>
      <c r="P90" s="5">
        <v>0</v>
      </c>
      <c r="Q90" s="5">
        <v>245</v>
      </c>
      <c r="R90" s="2">
        <v>1</v>
      </c>
      <c r="S90" s="2" t="s">
        <v>741</v>
      </c>
      <c r="T90" s="2">
        <v>3</v>
      </c>
      <c r="U90" s="5">
        <v>735</v>
      </c>
      <c r="V90" s="5">
        <v>44.1</v>
      </c>
      <c r="W90" s="2" t="s">
        <v>1</v>
      </c>
      <c r="X90" s="2" t="s">
        <v>723</v>
      </c>
      <c r="Y90" s="2" t="s">
        <v>724</v>
      </c>
      <c r="Z90" s="2" t="s">
        <v>1</v>
      </c>
      <c r="AA90" s="2" t="s">
        <v>1</v>
      </c>
      <c r="AB90" s="2" t="s">
        <v>1</v>
      </c>
      <c r="AC90" s="2" t="s">
        <v>1</v>
      </c>
      <c r="AD90" s="2" t="s">
        <v>1</v>
      </c>
      <c r="AE90" s="2" t="s">
        <v>1</v>
      </c>
      <c r="AF90" s="2" t="s">
        <v>1031</v>
      </c>
      <c r="AG90" s="2" t="s">
        <v>101</v>
      </c>
      <c r="AH90" s="5">
        <v>0</v>
      </c>
      <c r="AI90" s="5">
        <v>779.1</v>
      </c>
      <c r="AJ90" s="5">
        <v>0</v>
      </c>
    </row>
    <row r="91" ht="17.5" customHeight="1" spans="1:36">
      <c r="A91" s="2" t="s">
        <v>1032</v>
      </c>
      <c r="B91" s="2" t="s">
        <v>727</v>
      </c>
      <c r="C91" s="2" t="s">
        <v>464</v>
      </c>
      <c r="D91" s="2" t="s">
        <v>465</v>
      </c>
      <c r="E91" s="2" t="s">
        <v>465</v>
      </c>
      <c r="F91" s="9" t="str">
        <f>VLOOKUP(E91,'[1]202501入账'!$A:$F,5,0)</f>
        <v>KA销售中心</v>
      </c>
      <c r="G91" s="9" t="str">
        <f>VLOOKUP(E91,'[1]202501入账'!$A:$F,6,0)</f>
        <v>渠道合作组-西南区</v>
      </c>
      <c r="H91" s="2" t="s">
        <v>1</v>
      </c>
      <c r="I91" s="6">
        <v>45670.6583333333</v>
      </c>
      <c r="J91" s="3">
        <v>45670</v>
      </c>
      <c r="K91" s="3">
        <v>45673</v>
      </c>
      <c r="L91" s="2" t="s">
        <v>746</v>
      </c>
      <c r="M91" s="2" t="s">
        <v>1033</v>
      </c>
      <c r="N91" s="2" t="s">
        <v>1034</v>
      </c>
      <c r="O91" s="2" t="s">
        <v>1035</v>
      </c>
      <c r="P91" s="5">
        <v>0</v>
      </c>
      <c r="Q91" s="5">
        <v>300.33</v>
      </c>
      <c r="R91" s="2">
        <v>1</v>
      </c>
      <c r="S91" s="2" t="s">
        <v>780</v>
      </c>
      <c r="T91" s="2">
        <v>3</v>
      </c>
      <c r="U91" s="5">
        <v>900</v>
      </c>
      <c r="V91" s="5">
        <v>0</v>
      </c>
      <c r="W91" s="2" t="s">
        <v>1</v>
      </c>
      <c r="X91" s="2" t="s">
        <v>723</v>
      </c>
      <c r="Y91" s="2" t="s">
        <v>724</v>
      </c>
      <c r="Z91" s="2" t="s">
        <v>1</v>
      </c>
      <c r="AA91" s="2" t="s">
        <v>1</v>
      </c>
      <c r="AB91" s="2" t="s">
        <v>1</v>
      </c>
      <c r="AC91" s="2" t="s">
        <v>1</v>
      </c>
      <c r="AD91" s="2" t="s">
        <v>1</v>
      </c>
      <c r="AE91" s="2" t="s">
        <v>1</v>
      </c>
      <c r="AF91" s="2" t="s">
        <v>1036</v>
      </c>
      <c r="AG91" s="2" t="s">
        <v>101</v>
      </c>
      <c r="AH91" s="5">
        <v>0</v>
      </c>
      <c r="AI91" s="5">
        <v>900</v>
      </c>
      <c r="AJ91" s="5">
        <v>0</v>
      </c>
    </row>
    <row r="92" ht="17.5" customHeight="1" spans="1:36">
      <c r="A92" s="2" t="s">
        <v>1037</v>
      </c>
      <c r="B92" s="2" t="s">
        <v>727</v>
      </c>
      <c r="C92" s="2" t="s">
        <v>919</v>
      </c>
      <c r="D92" s="2" t="s">
        <v>920</v>
      </c>
      <c r="E92" s="2" t="s">
        <v>920</v>
      </c>
      <c r="F92" s="9" t="str">
        <f>VLOOKUP(E92,'[1]202501入账'!$A:$F,5,0)</f>
        <v>KA销售中心</v>
      </c>
      <c r="G92" s="9" t="str">
        <f>VLOOKUP(E92,'[1]202501入账'!$A:$F,6,0)</f>
        <v>KA销售组</v>
      </c>
      <c r="H92" s="2" t="s">
        <v>1</v>
      </c>
      <c r="I92" s="6">
        <v>45670.7402777778</v>
      </c>
      <c r="J92" s="3">
        <v>45670</v>
      </c>
      <c r="K92" s="3">
        <v>45671</v>
      </c>
      <c r="L92" s="2" t="s">
        <v>1038</v>
      </c>
      <c r="M92" s="2" t="s">
        <v>1039</v>
      </c>
      <c r="N92" s="2" t="s">
        <v>1040</v>
      </c>
      <c r="O92" s="2" t="s">
        <v>1041</v>
      </c>
      <c r="P92" s="5">
        <v>0</v>
      </c>
      <c r="Q92" s="5">
        <v>186</v>
      </c>
      <c r="R92" s="2">
        <v>1</v>
      </c>
      <c r="S92" s="2" t="s">
        <v>780</v>
      </c>
      <c r="T92" s="2">
        <v>1</v>
      </c>
      <c r="U92" s="5">
        <v>186</v>
      </c>
      <c r="V92" s="5">
        <v>11.16</v>
      </c>
      <c r="W92" s="2" t="s">
        <v>1</v>
      </c>
      <c r="X92" s="2" t="s">
        <v>723</v>
      </c>
      <c r="Y92" s="2" t="s">
        <v>724</v>
      </c>
      <c r="Z92" s="2" t="s">
        <v>1</v>
      </c>
      <c r="AA92" s="2" t="s">
        <v>1</v>
      </c>
      <c r="AB92" s="2" t="s">
        <v>1</v>
      </c>
      <c r="AC92" s="2" t="s">
        <v>1</v>
      </c>
      <c r="AD92" s="2" t="s">
        <v>1</v>
      </c>
      <c r="AE92" s="2" t="s">
        <v>1</v>
      </c>
      <c r="AF92" s="2" t="s">
        <v>1042</v>
      </c>
      <c r="AG92" s="2" t="s">
        <v>101</v>
      </c>
      <c r="AH92" s="5">
        <v>0</v>
      </c>
      <c r="AI92" s="5">
        <v>197.16</v>
      </c>
      <c r="AJ92" s="5">
        <v>0</v>
      </c>
    </row>
    <row r="93" ht="17.5" customHeight="1" spans="1:36">
      <c r="A93" s="2" t="s">
        <v>1043</v>
      </c>
      <c r="B93" s="2" t="s">
        <v>727</v>
      </c>
      <c r="C93" s="2" t="s">
        <v>575</v>
      </c>
      <c r="D93" s="2" t="s">
        <v>576</v>
      </c>
      <c r="E93" s="2" t="s">
        <v>576</v>
      </c>
      <c r="F93" s="9" t="str">
        <f>VLOOKUP(E93,'[1]202501入账'!$A:$F,5,0)</f>
        <v>KA销售中心</v>
      </c>
      <c r="G93" s="9" t="str">
        <f>VLOOKUP(E93,'[1]202501入账'!$A:$F,6,0)</f>
        <v>渠道合作组-西南区</v>
      </c>
      <c r="H93" s="2" t="s">
        <v>1</v>
      </c>
      <c r="I93" s="6">
        <v>45671.3868055556</v>
      </c>
      <c r="J93" s="3">
        <v>45671</v>
      </c>
      <c r="K93" s="3">
        <v>45672</v>
      </c>
      <c r="L93" s="2" t="s">
        <v>737</v>
      </c>
      <c r="M93" s="2" t="s">
        <v>824</v>
      </c>
      <c r="N93" s="2" t="s">
        <v>825</v>
      </c>
      <c r="O93" s="2" t="s">
        <v>758</v>
      </c>
      <c r="P93" s="5">
        <v>0</v>
      </c>
      <c r="Q93" s="5">
        <v>347</v>
      </c>
      <c r="R93" s="2">
        <v>1</v>
      </c>
      <c r="S93" s="2" t="s">
        <v>722</v>
      </c>
      <c r="T93" s="2">
        <v>1</v>
      </c>
      <c r="U93" s="5">
        <v>347</v>
      </c>
      <c r="V93" s="5">
        <v>0</v>
      </c>
      <c r="W93" s="2" t="s">
        <v>1</v>
      </c>
      <c r="X93" s="2" t="s">
        <v>723</v>
      </c>
      <c r="Y93" s="2" t="s">
        <v>724</v>
      </c>
      <c r="Z93" s="2" t="s">
        <v>1</v>
      </c>
      <c r="AA93" s="2" t="s">
        <v>1</v>
      </c>
      <c r="AB93" s="2" t="s">
        <v>1</v>
      </c>
      <c r="AC93" s="2" t="s">
        <v>1</v>
      </c>
      <c r="AD93" s="2" t="s">
        <v>1</v>
      </c>
      <c r="AE93" s="2" t="s">
        <v>1</v>
      </c>
      <c r="AF93" s="2" t="s">
        <v>1044</v>
      </c>
      <c r="AG93" s="2" t="s">
        <v>101</v>
      </c>
      <c r="AH93" s="5">
        <v>0</v>
      </c>
      <c r="AI93" s="5">
        <v>347</v>
      </c>
      <c r="AJ93" s="5">
        <v>0</v>
      </c>
    </row>
    <row r="94" ht="17.5" customHeight="1" spans="1:36">
      <c r="A94" s="2" t="s">
        <v>1045</v>
      </c>
      <c r="B94" s="2" t="s">
        <v>727</v>
      </c>
      <c r="C94" s="2" t="s">
        <v>526</v>
      </c>
      <c r="D94" s="2" t="s">
        <v>527</v>
      </c>
      <c r="E94" s="2" t="s">
        <v>527</v>
      </c>
      <c r="F94" s="9" t="str">
        <f>VLOOKUP(E94,'[1]202501入账'!$A:$F,5,0)</f>
        <v>KA销售中心</v>
      </c>
      <c r="G94" s="9" t="str">
        <f>VLOOKUP(E94,'[1]202501入账'!$A:$F,6,0)</f>
        <v>渠道合作组-华南区</v>
      </c>
      <c r="H94" s="2" t="s">
        <v>1</v>
      </c>
      <c r="I94" s="6">
        <v>45671.4111111111</v>
      </c>
      <c r="J94" s="3">
        <v>45673</v>
      </c>
      <c r="K94" s="3">
        <v>45675</v>
      </c>
      <c r="L94" s="2" t="s">
        <v>737</v>
      </c>
      <c r="M94" s="2" t="s">
        <v>824</v>
      </c>
      <c r="N94" s="2" t="s">
        <v>825</v>
      </c>
      <c r="O94" s="2" t="s">
        <v>734</v>
      </c>
      <c r="P94" s="5">
        <v>0</v>
      </c>
      <c r="Q94" s="5">
        <v>383</v>
      </c>
      <c r="R94" s="2">
        <v>1</v>
      </c>
      <c r="S94" s="2" t="s">
        <v>722</v>
      </c>
      <c r="T94" s="2">
        <v>2</v>
      </c>
      <c r="U94" s="5">
        <v>766</v>
      </c>
      <c r="V94" s="5">
        <v>0</v>
      </c>
      <c r="W94" s="2" t="s">
        <v>1</v>
      </c>
      <c r="X94" s="2" t="s">
        <v>723</v>
      </c>
      <c r="Y94" s="2" t="s">
        <v>724</v>
      </c>
      <c r="Z94" s="2" t="s">
        <v>1</v>
      </c>
      <c r="AA94" s="2" t="s">
        <v>1</v>
      </c>
      <c r="AB94" s="2" t="s">
        <v>1</v>
      </c>
      <c r="AC94" s="2" t="s">
        <v>1</v>
      </c>
      <c r="AD94" s="2" t="s">
        <v>1</v>
      </c>
      <c r="AE94" s="2" t="s">
        <v>1</v>
      </c>
      <c r="AF94" s="2" t="s">
        <v>1046</v>
      </c>
      <c r="AG94" s="2" t="s">
        <v>101</v>
      </c>
      <c r="AH94" s="5">
        <v>0</v>
      </c>
      <c r="AI94" s="5">
        <v>766</v>
      </c>
      <c r="AJ94" s="5">
        <v>0</v>
      </c>
    </row>
    <row r="95" ht="17.5" customHeight="1" spans="1:36">
      <c r="A95" s="2" t="s">
        <v>1047</v>
      </c>
      <c r="B95" s="2" t="s">
        <v>727</v>
      </c>
      <c r="C95" s="2" t="s">
        <v>531</v>
      </c>
      <c r="D95" s="2" t="s">
        <v>532</v>
      </c>
      <c r="E95" s="2" t="s">
        <v>532</v>
      </c>
      <c r="F95" s="9" t="str">
        <f>VLOOKUP(E95,'[1]202501入账'!$A:$F,5,0)</f>
        <v>KA销售中心</v>
      </c>
      <c r="G95" s="9" t="str">
        <f>VLOOKUP(E95,'[1]202501入账'!$A:$F,6,0)</f>
        <v>渠道合作组-华南区</v>
      </c>
      <c r="H95" s="2" t="s">
        <v>1</v>
      </c>
      <c r="I95" s="6">
        <v>45671.4125</v>
      </c>
      <c r="J95" s="3">
        <v>45673</v>
      </c>
      <c r="K95" s="3">
        <v>45675</v>
      </c>
      <c r="L95" s="2" t="s">
        <v>737</v>
      </c>
      <c r="M95" s="2" t="s">
        <v>824</v>
      </c>
      <c r="N95" s="2" t="s">
        <v>825</v>
      </c>
      <c r="O95" s="2" t="s">
        <v>1048</v>
      </c>
      <c r="P95" s="5">
        <v>0</v>
      </c>
      <c r="Q95" s="5">
        <v>410</v>
      </c>
      <c r="R95" s="2">
        <v>1</v>
      </c>
      <c r="S95" s="2" t="s">
        <v>722</v>
      </c>
      <c r="T95" s="2">
        <v>2</v>
      </c>
      <c r="U95" s="5">
        <v>800</v>
      </c>
      <c r="V95" s="5">
        <v>0</v>
      </c>
      <c r="W95" s="2" t="s">
        <v>1</v>
      </c>
      <c r="X95" s="2" t="s">
        <v>723</v>
      </c>
      <c r="Y95" s="2" t="s">
        <v>724</v>
      </c>
      <c r="Z95" s="2" t="s">
        <v>1</v>
      </c>
      <c r="AA95" s="2" t="s">
        <v>1</v>
      </c>
      <c r="AB95" s="2" t="s">
        <v>1</v>
      </c>
      <c r="AC95" s="2" t="s">
        <v>1</v>
      </c>
      <c r="AD95" s="2" t="s">
        <v>1</v>
      </c>
      <c r="AE95" s="2" t="s">
        <v>1</v>
      </c>
      <c r="AF95" s="2" t="s">
        <v>1049</v>
      </c>
      <c r="AG95" s="2" t="s">
        <v>101</v>
      </c>
      <c r="AH95" s="5">
        <v>0</v>
      </c>
      <c r="AI95" s="5">
        <v>800</v>
      </c>
      <c r="AJ95" s="5">
        <v>0</v>
      </c>
    </row>
    <row r="96" ht="17.5" customHeight="1" spans="1:36">
      <c r="A96" s="2" t="s">
        <v>1050</v>
      </c>
      <c r="B96" s="2" t="s">
        <v>727</v>
      </c>
      <c r="C96" s="2" t="s">
        <v>537</v>
      </c>
      <c r="D96" s="2" t="s">
        <v>538</v>
      </c>
      <c r="E96" s="2" t="s">
        <v>538</v>
      </c>
      <c r="F96" s="9" t="str">
        <f>VLOOKUP(E96,'[1]202501入账'!$A:$F,5,0)</f>
        <v>KA销售中心</v>
      </c>
      <c r="G96" s="9" t="str">
        <f>VLOOKUP(E96,'[1]202501入账'!$A:$F,6,0)</f>
        <v>渠道合作组-华南区</v>
      </c>
      <c r="H96" s="2" t="s">
        <v>1</v>
      </c>
      <c r="I96" s="6">
        <v>45671.4201388889</v>
      </c>
      <c r="J96" s="3">
        <v>45673</v>
      </c>
      <c r="K96" s="3">
        <v>45675</v>
      </c>
      <c r="L96" s="2" t="s">
        <v>737</v>
      </c>
      <c r="M96" s="2" t="s">
        <v>968</v>
      </c>
      <c r="N96" s="2" t="s">
        <v>969</v>
      </c>
      <c r="O96" s="2" t="s">
        <v>734</v>
      </c>
      <c r="P96" s="5">
        <v>0</v>
      </c>
      <c r="Q96" s="5">
        <v>431</v>
      </c>
      <c r="R96" s="2">
        <v>1</v>
      </c>
      <c r="S96" s="2" t="s">
        <v>741</v>
      </c>
      <c r="T96" s="2">
        <v>2</v>
      </c>
      <c r="U96" s="5">
        <v>800</v>
      </c>
      <c r="V96" s="5">
        <v>48</v>
      </c>
      <c r="W96" s="2" t="s">
        <v>1</v>
      </c>
      <c r="X96" s="2" t="s">
        <v>723</v>
      </c>
      <c r="Y96" s="2" t="s">
        <v>724</v>
      </c>
      <c r="Z96" s="2" t="s">
        <v>1</v>
      </c>
      <c r="AA96" s="2" t="s">
        <v>1</v>
      </c>
      <c r="AB96" s="2" t="s">
        <v>1</v>
      </c>
      <c r="AC96" s="2" t="s">
        <v>1</v>
      </c>
      <c r="AD96" s="2" t="s">
        <v>1</v>
      </c>
      <c r="AE96" s="2" t="s">
        <v>1</v>
      </c>
      <c r="AF96" s="2" t="s">
        <v>1051</v>
      </c>
      <c r="AG96" s="2" t="s">
        <v>101</v>
      </c>
      <c r="AH96" s="5">
        <v>0</v>
      </c>
      <c r="AI96" s="5">
        <v>848</v>
      </c>
      <c r="AJ96" s="5">
        <v>0</v>
      </c>
    </row>
    <row r="97" ht="17.5" customHeight="1" spans="1:36">
      <c r="A97" s="2" t="s">
        <v>1052</v>
      </c>
      <c r="B97" s="2" t="s">
        <v>727</v>
      </c>
      <c r="C97" s="2" t="s">
        <v>919</v>
      </c>
      <c r="D97" s="2" t="s">
        <v>920</v>
      </c>
      <c r="E97" s="2" t="s">
        <v>920</v>
      </c>
      <c r="F97" s="9" t="str">
        <f>VLOOKUP(E97,'[1]202501入账'!$A:$F,5,0)</f>
        <v>KA销售中心</v>
      </c>
      <c r="G97" s="9" t="str">
        <f>VLOOKUP(E97,'[1]202501入账'!$A:$F,6,0)</f>
        <v>KA销售组</v>
      </c>
      <c r="H97" s="2" t="s">
        <v>1</v>
      </c>
      <c r="I97" s="6">
        <v>45671.7673611111</v>
      </c>
      <c r="J97" s="3">
        <v>45671</v>
      </c>
      <c r="K97" s="3">
        <v>45672</v>
      </c>
      <c r="L97" s="2" t="s">
        <v>1053</v>
      </c>
      <c r="M97" s="2" t="s">
        <v>1054</v>
      </c>
      <c r="N97" s="2" t="s">
        <v>1055</v>
      </c>
      <c r="O97" s="2" t="s">
        <v>1056</v>
      </c>
      <c r="P97" s="5">
        <v>0</v>
      </c>
      <c r="Q97" s="5">
        <v>192</v>
      </c>
      <c r="R97" s="2">
        <v>1</v>
      </c>
      <c r="S97" s="2" t="s">
        <v>741</v>
      </c>
      <c r="T97" s="2">
        <v>1</v>
      </c>
      <c r="U97" s="5">
        <v>192</v>
      </c>
      <c r="V97" s="5">
        <v>11.52</v>
      </c>
      <c r="W97" s="2" t="s">
        <v>1</v>
      </c>
      <c r="X97" s="2" t="s">
        <v>723</v>
      </c>
      <c r="Y97" s="2" t="s">
        <v>724</v>
      </c>
      <c r="Z97" s="2" t="s">
        <v>1</v>
      </c>
      <c r="AA97" s="2" t="s">
        <v>1</v>
      </c>
      <c r="AB97" s="2" t="s">
        <v>1</v>
      </c>
      <c r="AC97" s="2" t="s">
        <v>1</v>
      </c>
      <c r="AD97" s="2" t="s">
        <v>1</v>
      </c>
      <c r="AE97" s="2" t="s">
        <v>1</v>
      </c>
      <c r="AF97" s="2" t="s">
        <v>1057</v>
      </c>
      <c r="AG97" s="2" t="s">
        <v>101</v>
      </c>
      <c r="AH97" s="5">
        <v>0</v>
      </c>
      <c r="AI97" s="5">
        <v>203.52</v>
      </c>
      <c r="AJ97" s="5">
        <v>0</v>
      </c>
    </row>
    <row r="98" ht="17.5" customHeight="1" spans="1:36">
      <c r="A98" s="2" t="s">
        <v>1058</v>
      </c>
      <c r="B98" s="2" t="s">
        <v>727</v>
      </c>
      <c r="C98" s="2" t="s">
        <v>774</v>
      </c>
      <c r="D98" s="2" t="s">
        <v>775</v>
      </c>
      <c r="E98" s="2" t="s">
        <v>775</v>
      </c>
      <c r="F98" s="9" t="str">
        <f>VLOOKUP(E98,'[1]202501入账'!$A:$F,5,0)</f>
        <v>KA销售中心</v>
      </c>
      <c r="G98" s="9" t="str">
        <f>VLOOKUP(E98,'[1]202501入账'!$A:$F,6,0)</f>
        <v>KA销售组</v>
      </c>
      <c r="H98" s="2" t="s">
        <v>1</v>
      </c>
      <c r="I98" s="6">
        <v>45671.875</v>
      </c>
      <c r="J98" s="3">
        <v>45671</v>
      </c>
      <c r="K98" s="3">
        <v>45673</v>
      </c>
      <c r="L98" s="2" t="s">
        <v>776</v>
      </c>
      <c r="M98" s="2" t="s">
        <v>1059</v>
      </c>
      <c r="N98" s="2" t="s">
        <v>1060</v>
      </c>
      <c r="O98" s="2" t="s">
        <v>1061</v>
      </c>
      <c r="P98" s="5">
        <v>0</v>
      </c>
      <c r="Q98" s="5">
        <v>271</v>
      </c>
      <c r="R98" s="2">
        <v>1</v>
      </c>
      <c r="S98" s="2" t="s">
        <v>741</v>
      </c>
      <c r="T98" s="2">
        <v>2</v>
      </c>
      <c r="U98" s="5">
        <v>542</v>
      </c>
      <c r="V98" s="5">
        <v>32.52</v>
      </c>
      <c r="W98" s="2" t="s">
        <v>1</v>
      </c>
      <c r="X98" s="2" t="s">
        <v>723</v>
      </c>
      <c r="Y98" s="2" t="s">
        <v>724</v>
      </c>
      <c r="Z98" s="2" t="s">
        <v>1</v>
      </c>
      <c r="AA98" s="2" t="s">
        <v>1</v>
      </c>
      <c r="AB98" s="2" t="s">
        <v>1</v>
      </c>
      <c r="AC98" s="2" t="s">
        <v>1</v>
      </c>
      <c r="AD98" s="2" t="s">
        <v>1</v>
      </c>
      <c r="AE98" s="2" t="s">
        <v>1</v>
      </c>
      <c r="AF98" s="2" t="s">
        <v>1062</v>
      </c>
      <c r="AG98" s="2" t="s">
        <v>101</v>
      </c>
      <c r="AH98" s="5">
        <v>0</v>
      </c>
      <c r="AI98" s="5">
        <v>574.52</v>
      </c>
      <c r="AJ98" s="5">
        <v>0</v>
      </c>
    </row>
    <row r="99" ht="17.5" customHeight="1" spans="1:36">
      <c r="A99" s="2" t="s">
        <v>1063</v>
      </c>
      <c r="B99" s="2" t="s">
        <v>727</v>
      </c>
      <c r="C99" s="2" t="s">
        <v>575</v>
      </c>
      <c r="D99" s="2" t="s">
        <v>576</v>
      </c>
      <c r="E99" s="2" t="s">
        <v>576</v>
      </c>
      <c r="F99" s="9" t="str">
        <f>VLOOKUP(E99,'[1]202501入账'!$A:$F,5,0)</f>
        <v>KA销售中心</v>
      </c>
      <c r="G99" s="9" t="str">
        <f>VLOOKUP(E99,'[1]202501入账'!$A:$F,6,0)</f>
        <v>渠道合作组-西南区</v>
      </c>
      <c r="H99" s="2" t="s">
        <v>1</v>
      </c>
      <c r="I99" s="6">
        <v>45672.375</v>
      </c>
      <c r="J99" s="3">
        <v>45672</v>
      </c>
      <c r="K99" s="3">
        <v>45673</v>
      </c>
      <c r="L99" s="2" t="s">
        <v>737</v>
      </c>
      <c r="M99" s="2" t="s">
        <v>824</v>
      </c>
      <c r="N99" s="2" t="s">
        <v>825</v>
      </c>
      <c r="O99" s="2" t="s">
        <v>758</v>
      </c>
      <c r="P99" s="5">
        <v>0</v>
      </c>
      <c r="Q99" s="5">
        <v>330</v>
      </c>
      <c r="R99" s="2">
        <v>1</v>
      </c>
      <c r="S99" s="2" t="s">
        <v>722</v>
      </c>
      <c r="T99" s="2">
        <v>1</v>
      </c>
      <c r="U99" s="5">
        <v>330</v>
      </c>
      <c r="V99" s="5">
        <v>0</v>
      </c>
      <c r="W99" s="2" t="s">
        <v>1</v>
      </c>
      <c r="X99" s="2" t="s">
        <v>723</v>
      </c>
      <c r="Y99" s="2" t="s">
        <v>724</v>
      </c>
      <c r="Z99" s="2" t="s">
        <v>1</v>
      </c>
      <c r="AA99" s="2" t="s">
        <v>1</v>
      </c>
      <c r="AB99" s="2" t="s">
        <v>1</v>
      </c>
      <c r="AC99" s="2" t="s">
        <v>1</v>
      </c>
      <c r="AD99" s="2" t="s">
        <v>1</v>
      </c>
      <c r="AE99" s="2" t="s">
        <v>1</v>
      </c>
      <c r="AF99" s="2" t="s">
        <v>1044</v>
      </c>
      <c r="AG99" s="2" t="s">
        <v>101</v>
      </c>
      <c r="AH99" s="5">
        <v>0</v>
      </c>
      <c r="AI99" s="5">
        <v>330</v>
      </c>
      <c r="AJ99" s="5">
        <v>0</v>
      </c>
    </row>
    <row r="100" ht="17.5" customHeight="1" spans="1:36">
      <c r="A100" s="2" t="s">
        <v>1064</v>
      </c>
      <c r="B100" s="2" t="s">
        <v>727</v>
      </c>
      <c r="C100" s="2" t="s">
        <v>575</v>
      </c>
      <c r="D100" s="2" t="s">
        <v>576</v>
      </c>
      <c r="E100" s="2" t="s">
        <v>576</v>
      </c>
      <c r="F100" s="9" t="str">
        <f>VLOOKUP(E100,'[1]202501入账'!$A:$F,5,0)</f>
        <v>KA销售中心</v>
      </c>
      <c r="G100" s="9" t="str">
        <f>VLOOKUP(E100,'[1]202501入账'!$A:$F,6,0)</f>
        <v>渠道合作组-西南区</v>
      </c>
      <c r="H100" s="2" t="s">
        <v>1</v>
      </c>
      <c r="I100" s="6">
        <v>45672.3763888889</v>
      </c>
      <c r="J100" s="3">
        <v>45673</v>
      </c>
      <c r="K100" s="3">
        <v>45674</v>
      </c>
      <c r="L100" s="2" t="s">
        <v>737</v>
      </c>
      <c r="M100" s="2" t="s">
        <v>824</v>
      </c>
      <c r="N100" s="2" t="s">
        <v>825</v>
      </c>
      <c r="O100" s="2" t="s">
        <v>734</v>
      </c>
      <c r="P100" s="5">
        <v>0</v>
      </c>
      <c r="Q100" s="5">
        <v>383</v>
      </c>
      <c r="R100" s="2">
        <v>1</v>
      </c>
      <c r="S100" s="2" t="s">
        <v>722</v>
      </c>
      <c r="T100" s="2">
        <v>1</v>
      </c>
      <c r="U100" s="5">
        <v>383</v>
      </c>
      <c r="V100" s="5">
        <v>0</v>
      </c>
      <c r="W100" s="2" t="s">
        <v>1</v>
      </c>
      <c r="X100" s="2" t="s">
        <v>723</v>
      </c>
      <c r="Y100" s="2" t="s">
        <v>724</v>
      </c>
      <c r="Z100" s="2" t="s">
        <v>1</v>
      </c>
      <c r="AA100" s="2" t="s">
        <v>1</v>
      </c>
      <c r="AB100" s="2" t="s">
        <v>1</v>
      </c>
      <c r="AC100" s="2" t="s">
        <v>1</v>
      </c>
      <c r="AD100" s="2" t="s">
        <v>1</v>
      </c>
      <c r="AE100" s="2" t="s">
        <v>1</v>
      </c>
      <c r="AF100" s="2" t="s">
        <v>1044</v>
      </c>
      <c r="AG100" s="2" t="s">
        <v>101</v>
      </c>
      <c r="AH100" s="5">
        <v>0</v>
      </c>
      <c r="AI100" s="5">
        <v>383</v>
      </c>
      <c r="AJ100" s="5">
        <v>0</v>
      </c>
    </row>
    <row r="101" ht="17.5" customHeight="1" spans="1:36">
      <c r="A101" s="2" t="s">
        <v>1065</v>
      </c>
      <c r="B101" s="2" t="s">
        <v>727</v>
      </c>
      <c r="C101" s="2" t="s">
        <v>464</v>
      </c>
      <c r="D101" s="2" t="s">
        <v>465</v>
      </c>
      <c r="E101" s="2" t="s">
        <v>465</v>
      </c>
      <c r="F101" s="9" t="str">
        <f>VLOOKUP(E101,'[1]202501入账'!$A:$F,5,0)</f>
        <v>KA销售中心</v>
      </c>
      <c r="G101" s="9" t="str">
        <f>VLOOKUP(E101,'[1]202501入账'!$A:$F,6,0)</f>
        <v>渠道合作组-西南区</v>
      </c>
      <c r="H101" s="2" t="s">
        <v>1</v>
      </c>
      <c r="I101" s="6">
        <v>45672.6583333333</v>
      </c>
      <c r="J101" s="3">
        <v>45673</v>
      </c>
      <c r="K101" s="3">
        <v>45675</v>
      </c>
      <c r="L101" s="2" t="s">
        <v>737</v>
      </c>
      <c r="M101" s="2" t="s">
        <v>1066</v>
      </c>
      <c r="N101" s="2" t="s">
        <v>1067</v>
      </c>
      <c r="O101" s="2" t="s">
        <v>1068</v>
      </c>
      <c r="P101" s="5">
        <v>0</v>
      </c>
      <c r="Q101" s="5">
        <v>375</v>
      </c>
      <c r="R101" s="2">
        <v>1</v>
      </c>
      <c r="S101" s="2" t="s">
        <v>722</v>
      </c>
      <c r="T101" s="2">
        <v>2</v>
      </c>
      <c r="U101" s="5">
        <v>750</v>
      </c>
      <c r="V101" s="5">
        <v>45</v>
      </c>
      <c r="W101" s="2" t="s">
        <v>1</v>
      </c>
      <c r="X101" s="2" t="s">
        <v>723</v>
      </c>
      <c r="Y101" s="2" t="s">
        <v>724</v>
      </c>
      <c r="Z101" s="2" t="s">
        <v>1</v>
      </c>
      <c r="AA101" s="2" t="s">
        <v>1</v>
      </c>
      <c r="AB101" s="2" t="s">
        <v>1</v>
      </c>
      <c r="AC101" s="2" t="s">
        <v>1</v>
      </c>
      <c r="AD101" s="2" t="s">
        <v>1</v>
      </c>
      <c r="AE101" s="2" t="s">
        <v>1</v>
      </c>
      <c r="AF101" s="2" t="s">
        <v>1069</v>
      </c>
      <c r="AG101" s="2" t="s">
        <v>101</v>
      </c>
      <c r="AH101" s="5">
        <v>0</v>
      </c>
      <c r="AI101" s="5">
        <v>795</v>
      </c>
      <c r="AJ101" s="5">
        <v>0</v>
      </c>
    </row>
    <row r="102" ht="17.5" customHeight="1" spans="1:36">
      <c r="A102" s="2" t="s">
        <v>1070</v>
      </c>
      <c r="B102" s="2" t="s">
        <v>727</v>
      </c>
      <c r="C102" s="2" t="s">
        <v>575</v>
      </c>
      <c r="D102" s="2" t="s">
        <v>576</v>
      </c>
      <c r="E102" s="2" t="s">
        <v>576</v>
      </c>
      <c r="F102" s="9" t="str">
        <f>VLOOKUP(E102,'[1]202501入账'!$A:$F,5,0)</f>
        <v>KA销售中心</v>
      </c>
      <c r="G102" s="9" t="str">
        <f>VLOOKUP(E102,'[1]202501入账'!$A:$F,6,0)</f>
        <v>渠道合作组-西南区</v>
      </c>
      <c r="H102" s="2" t="s">
        <v>1</v>
      </c>
      <c r="I102" s="6">
        <v>45673.4131944444</v>
      </c>
      <c r="J102" s="3">
        <v>45674</v>
      </c>
      <c r="K102" s="3">
        <v>45675</v>
      </c>
      <c r="L102" s="2" t="s">
        <v>737</v>
      </c>
      <c r="M102" s="2" t="s">
        <v>824</v>
      </c>
      <c r="N102" s="2" t="s">
        <v>825</v>
      </c>
      <c r="O102" s="2" t="s">
        <v>734</v>
      </c>
      <c r="P102" s="5">
        <v>0</v>
      </c>
      <c r="Q102" s="5">
        <v>369</v>
      </c>
      <c r="R102" s="2">
        <v>1</v>
      </c>
      <c r="S102" s="2" t="s">
        <v>722</v>
      </c>
      <c r="T102" s="2">
        <v>1</v>
      </c>
      <c r="U102" s="5">
        <v>369</v>
      </c>
      <c r="V102" s="5">
        <v>0</v>
      </c>
      <c r="W102" s="2" t="s">
        <v>1</v>
      </c>
      <c r="X102" s="2" t="s">
        <v>723</v>
      </c>
      <c r="Y102" s="2" t="s">
        <v>724</v>
      </c>
      <c r="Z102" s="2" t="s">
        <v>1</v>
      </c>
      <c r="AA102" s="2" t="s">
        <v>1</v>
      </c>
      <c r="AB102" s="2" t="s">
        <v>1</v>
      </c>
      <c r="AC102" s="2" t="s">
        <v>1</v>
      </c>
      <c r="AD102" s="2" t="s">
        <v>1</v>
      </c>
      <c r="AE102" s="2" t="s">
        <v>1</v>
      </c>
      <c r="AF102" s="2" t="s">
        <v>1071</v>
      </c>
      <c r="AG102" s="2" t="s">
        <v>101</v>
      </c>
      <c r="AH102" s="5">
        <v>0</v>
      </c>
      <c r="AI102" s="5">
        <v>369</v>
      </c>
      <c r="AJ102" s="5">
        <v>0</v>
      </c>
    </row>
    <row r="103" ht="17.5" customHeight="1" spans="1:36">
      <c r="A103" s="2" t="s">
        <v>1072</v>
      </c>
      <c r="B103" s="2" t="s">
        <v>727</v>
      </c>
      <c r="C103" s="2" t="s">
        <v>1073</v>
      </c>
      <c r="D103" s="2" t="s">
        <v>1074</v>
      </c>
      <c r="E103" s="2" t="s">
        <v>1074</v>
      </c>
      <c r="F103" s="9" t="str">
        <f>VLOOKUP(E103,'[1]202501入账'!$A:$F,5,0)</f>
        <v>KA销售中心</v>
      </c>
      <c r="G103" s="9" t="str">
        <f>VLOOKUP(E103,'[1]202501入账'!$A:$F,6,0)</f>
        <v>渠道合作组-西南区</v>
      </c>
      <c r="H103" s="2" t="s">
        <v>1</v>
      </c>
      <c r="I103" s="6">
        <v>45675.5201388889</v>
      </c>
      <c r="J103" s="3">
        <v>45678</v>
      </c>
      <c r="K103" s="3">
        <v>45680</v>
      </c>
      <c r="L103" s="2" t="s">
        <v>854</v>
      </c>
      <c r="M103" s="2" t="s">
        <v>1075</v>
      </c>
      <c r="N103" s="2" t="s">
        <v>1075</v>
      </c>
      <c r="O103" s="2" t="s">
        <v>749</v>
      </c>
      <c r="P103" s="5">
        <v>0</v>
      </c>
      <c r="Q103" s="5">
        <v>256</v>
      </c>
      <c r="R103" s="2">
        <v>1</v>
      </c>
      <c r="S103" s="2" t="s">
        <v>780</v>
      </c>
      <c r="T103" s="2">
        <v>2</v>
      </c>
      <c r="U103" s="5">
        <v>512</v>
      </c>
      <c r="V103" s="5">
        <v>0</v>
      </c>
      <c r="W103" s="2" t="s">
        <v>1</v>
      </c>
      <c r="X103" s="2" t="s">
        <v>723</v>
      </c>
      <c r="Y103" s="2" t="s">
        <v>724</v>
      </c>
      <c r="Z103" s="2" t="s">
        <v>1</v>
      </c>
      <c r="AA103" s="2" t="s">
        <v>1</v>
      </c>
      <c r="AB103" s="2" t="s">
        <v>1</v>
      </c>
      <c r="AC103" s="2" t="s">
        <v>1</v>
      </c>
      <c r="AD103" s="2" t="s">
        <v>1</v>
      </c>
      <c r="AE103" s="2" t="s">
        <v>1</v>
      </c>
      <c r="AF103" s="2" t="s">
        <v>1076</v>
      </c>
      <c r="AG103" s="2" t="s">
        <v>101</v>
      </c>
      <c r="AH103" s="5">
        <v>0</v>
      </c>
      <c r="AI103" s="5">
        <v>512</v>
      </c>
      <c r="AJ103" s="5">
        <v>0</v>
      </c>
    </row>
    <row r="104" ht="17.5" customHeight="1" spans="1:36">
      <c r="A104" s="2" t="s">
        <v>1077</v>
      </c>
      <c r="B104" s="2" t="s">
        <v>727</v>
      </c>
      <c r="C104" s="2" t="s">
        <v>243</v>
      </c>
      <c r="D104" s="2" t="s">
        <v>244</v>
      </c>
      <c r="E104" s="2" t="s">
        <v>244</v>
      </c>
      <c r="F104" s="9" t="str">
        <f>VLOOKUP(E104,'[1]202501入账'!$A:$F,5,0)</f>
        <v>KA销售中心</v>
      </c>
      <c r="G104" s="9" t="str">
        <f>VLOOKUP(E104,'[1]202501入账'!$A:$F,6,0)</f>
        <v>渠道合作组-西南区</v>
      </c>
      <c r="H104" s="2" t="s">
        <v>1</v>
      </c>
      <c r="I104" s="6">
        <v>45675.5548611111</v>
      </c>
      <c r="J104" s="3">
        <v>45675</v>
      </c>
      <c r="K104" s="3">
        <v>45676</v>
      </c>
      <c r="L104" s="2" t="s">
        <v>746</v>
      </c>
      <c r="M104" s="2" t="s">
        <v>1078</v>
      </c>
      <c r="N104" s="2" t="s">
        <v>1079</v>
      </c>
      <c r="O104" s="2" t="s">
        <v>1080</v>
      </c>
      <c r="P104" s="5">
        <v>0</v>
      </c>
      <c r="Q104" s="5">
        <v>269</v>
      </c>
      <c r="R104" s="2">
        <v>1</v>
      </c>
      <c r="S104" s="2" t="s">
        <v>780</v>
      </c>
      <c r="T104" s="2">
        <v>1</v>
      </c>
      <c r="U104" s="5">
        <v>269</v>
      </c>
      <c r="V104" s="5">
        <v>0</v>
      </c>
      <c r="W104" s="2" t="s">
        <v>1</v>
      </c>
      <c r="X104" s="2" t="s">
        <v>723</v>
      </c>
      <c r="Y104" s="2" t="s">
        <v>724</v>
      </c>
      <c r="Z104" s="2" t="s">
        <v>1</v>
      </c>
      <c r="AA104" s="2" t="s">
        <v>1</v>
      </c>
      <c r="AB104" s="2" t="s">
        <v>1</v>
      </c>
      <c r="AC104" s="2" t="s">
        <v>1</v>
      </c>
      <c r="AD104" s="2" t="s">
        <v>1</v>
      </c>
      <c r="AE104" s="2" t="s">
        <v>1</v>
      </c>
      <c r="AF104" s="2" t="s">
        <v>1081</v>
      </c>
      <c r="AG104" s="2" t="s">
        <v>101</v>
      </c>
      <c r="AH104" s="5">
        <v>0</v>
      </c>
      <c r="AI104" s="5">
        <v>269</v>
      </c>
      <c r="AJ104" s="5">
        <v>0</v>
      </c>
    </row>
    <row r="105" ht="17.5" customHeight="1" spans="1:36">
      <c r="A105" s="2" t="s">
        <v>1082</v>
      </c>
      <c r="B105" s="2" t="s">
        <v>727</v>
      </c>
      <c r="C105" s="2" t="s">
        <v>663</v>
      </c>
      <c r="D105" s="2" t="s">
        <v>664</v>
      </c>
      <c r="E105" s="2" t="s">
        <v>664</v>
      </c>
      <c r="F105" s="9" t="str">
        <f>VLOOKUP(E105,'[1]202501入账'!$A:$F,5,0)</f>
        <v>电商产品中心</v>
      </c>
      <c r="G105" s="9" t="str">
        <f>VLOOKUP(E105,'[1]202501入账'!$A:$F,6,0)</f>
        <v>电商产品组</v>
      </c>
      <c r="H105" s="2" t="s">
        <v>1</v>
      </c>
      <c r="I105" s="6">
        <v>45675.6604166667</v>
      </c>
      <c r="J105" s="3">
        <v>45675</v>
      </c>
      <c r="K105" s="3">
        <v>45676</v>
      </c>
      <c r="L105" s="2" t="s">
        <v>828</v>
      </c>
      <c r="M105" s="2" t="s">
        <v>829</v>
      </c>
      <c r="N105" s="2" t="s">
        <v>830</v>
      </c>
      <c r="O105" s="2" t="s">
        <v>758</v>
      </c>
      <c r="P105" s="5">
        <v>0</v>
      </c>
      <c r="Q105" s="5">
        <v>277</v>
      </c>
      <c r="R105" s="2">
        <v>1</v>
      </c>
      <c r="S105" s="2" t="s">
        <v>741</v>
      </c>
      <c r="T105" s="2">
        <v>1</v>
      </c>
      <c r="U105" s="5">
        <v>277</v>
      </c>
      <c r="V105" s="5">
        <v>0</v>
      </c>
      <c r="W105" s="2" t="s">
        <v>1</v>
      </c>
      <c r="X105" s="2" t="s">
        <v>723</v>
      </c>
      <c r="Y105" s="2" t="s">
        <v>724</v>
      </c>
      <c r="Z105" s="2" t="s">
        <v>1</v>
      </c>
      <c r="AA105" s="2" t="s">
        <v>1</v>
      </c>
      <c r="AB105" s="2" t="s">
        <v>1</v>
      </c>
      <c r="AC105" s="2" t="s">
        <v>1</v>
      </c>
      <c r="AD105" s="2" t="s">
        <v>1</v>
      </c>
      <c r="AE105" s="2" t="s">
        <v>1</v>
      </c>
      <c r="AF105" s="2" t="s">
        <v>1083</v>
      </c>
      <c r="AG105" s="2" t="s">
        <v>101</v>
      </c>
      <c r="AH105" s="5">
        <v>0</v>
      </c>
      <c r="AI105" s="5">
        <v>277</v>
      </c>
      <c r="AJ105" s="5">
        <v>0</v>
      </c>
    </row>
    <row r="106" ht="17.5" customHeight="1" spans="1:36">
      <c r="A106" s="2" t="s">
        <v>1084</v>
      </c>
      <c r="B106" s="2" t="s">
        <v>727</v>
      </c>
      <c r="C106" s="2" t="s">
        <v>464</v>
      </c>
      <c r="D106" s="2" t="s">
        <v>465</v>
      </c>
      <c r="E106" s="2" t="s">
        <v>465</v>
      </c>
      <c r="F106" s="9" t="str">
        <f>VLOOKUP(E106,'[1]202501入账'!$A:$F,5,0)</f>
        <v>KA销售中心</v>
      </c>
      <c r="G106" s="9" t="str">
        <f>VLOOKUP(E106,'[1]202501入账'!$A:$F,6,0)</f>
        <v>渠道合作组-西南区</v>
      </c>
      <c r="H106" s="2" t="s">
        <v>1</v>
      </c>
      <c r="I106" s="6">
        <v>45675.7284722222</v>
      </c>
      <c r="J106" s="3">
        <v>45675</v>
      </c>
      <c r="K106" s="3">
        <v>45676</v>
      </c>
      <c r="L106" s="2" t="s">
        <v>737</v>
      </c>
      <c r="M106" s="2" t="s">
        <v>1085</v>
      </c>
      <c r="N106" s="2" t="s">
        <v>1086</v>
      </c>
      <c r="O106" s="2" t="s">
        <v>1087</v>
      </c>
      <c r="P106" s="5">
        <v>0</v>
      </c>
      <c r="Q106" s="5">
        <v>280</v>
      </c>
      <c r="R106" s="2">
        <v>1</v>
      </c>
      <c r="S106" s="2" t="s">
        <v>741</v>
      </c>
      <c r="T106" s="2">
        <v>1</v>
      </c>
      <c r="U106" s="5">
        <v>280</v>
      </c>
      <c r="V106" s="5">
        <v>16.8</v>
      </c>
      <c r="W106" s="2" t="s">
        <v>1</v>
      </c>
      <c r="X106" s="2" t="s">
        <v>723</v>
      </c>
      <c r="Y106" s="2" t="s">
        <v>724</v>
      </c>
      <c r="Z106" s="2" t="s">
        <v>1</v>
      </c>
      <c r="AA106" s="2" t="s">
        <v>1</v>
      </c>
      <c r="AB106" s="2" t="s">
        <v>1</v>
      </c>
      <c r="AC106" s="2" t="s">
        <v>1</v>
      </c>
      <c r="AD106" s="2" t="s">
        <v>1</v>
      </c>
      <c r="AE106" s="2" t="s">
        <v>1</v>
      </c>
      <c r="AF106" s="2" t="s">
        <v>1088</v>
      </c>
      <c r="AG106" s="2" t="s">
        <v>101</v>
      </c>
      <c r="AH106" s="5">
        <v>0</v>
      </c>
      <c r="AI106" s="5">
        <v>296.8</v>
      </c>
      <c r="AJ106" s="5">
        <v>0</v>
      </c>
    </row>
    <row r="107" ht="17.5" customHeight="1" spans="1:36">
      <c r="A107" s="2" t="s">
        <v>1089</v>
      </c>
      <c r="B107" s="2" t="s">
        <v>727</v>
      </c>
      <c r="C107" s="2" t="s">
        <v>243</v>
      </c>
      <c r="D107" s="2" t="s">
        <v>244</v>
      </c>
      <c r="E107" s="2" t="s">
        <v>244</v>
      </c>
      <c r="F107" s="9" t="str">
        <f>VLOOKUP(E107,'[1]202501入账'!$A:$F,5,0)</f>
        <v>KA销售中心</v>
      </c>
      <c r="G107" s="9" t="str">
        <f>VLOOKUP(E107,'[1]202501入账'!$A:$F,6,0)</f>
        <v>渠道合作组-西南区</v>
      </c>
      <c r="H107" s="2" t="s">
        <v>1</v>
      </c>
      <c r="I107" s="6">
        <v>45676.9118055556</v>
      </c>
      <c r="J107" s="3">
        <v>45676</v>
      </c>
      <c r="K107" s="3">
        <v>45677</v>
      </c>
      <c r="L107" s="2" t="s">
        <v>1090</v>
      </c>
      <c r="M107" s="2" t="s">
        <v>1091</v>
      </c>
      <c r="N107" s="2" t="s">
        <v>1091</v>
      </c>
      <c r="O107" s="2" t="s">
        <v>1092</v>
      </c>
      <c r="P107" s="5">
        <v>0</v>
      </c>
      <c r="Q107" s="5">
        <v>208</v>
      </c>
      <c r="R107" s="2">
        <v>1</v>
      </c>
      <c r="S107" s="2" t="s">
        <v>780</v>
      </c>
      <c r="T107" s="2">
        <v>1</v>
      </c>
      <c r="U107" s="5">
        <v>189</v>
      </c>
      <c r="V107" s="5">
        <v>0</v>
      </c>
      <c r="W107" s="2" t="s">
        <v>1</v>
      </c>
      <c r="X107" s="2" t="s">
        <v>723</v>
      </c>
      <c r="Y107" s="2" t="s">
        <v>724</v>
      </c>
      <c r="Z107" s="2" t="s">
        <v>1</v>
      </c>
      <c r="AA107" s="2" t="s">
        <v>1</v>
      </c>
      <c r="AB107" s="2" t="s">
        <v>1</v>
      </c>
      <c r="AC107" s="2" t="s">
        <v>1</v>
      </c>
      <c r="AD107" s="2" t="s">
        <v>1</v>
      </c>
      <c r="AE107" s="2" t="s">
        <v>1</v>
      </c>
      <c r="AF107" s="2" t="s">
        <v>1093</v>
      </c>
      <c r="AG107" s="2" t="s">
        <v>101</v>
      </c>
      <c r="AH107" s="5">
        <v>0</v>
      </c>
      <c r="AI107" s="5">
        <v>189</v>
      </c>
      <c r="AJ107" s="5">
        <v>0</v>
      </c>
    </row>
    <row r="108" ht="17.5" customHeight="1" spans="1:36">
      <c r="A108" s="2" t="s">
        <v>1094</v>
      </c>
      <c r="B108" s="2" t="s">
        <v>727</v>
      </c>
      <c r="C108" s="2" t="s">
        <v>243</v>
      </c>
      <c r="D108" s="2" t="s">
        <v>244</v>
      </c>
      <c r="E108" s="2" t="s">
        <v>244</v>
      </c>
      <c r="F108" s="9" t="str">
        <f>VLOOKUP(E108,'[1]202501入账'!$A:$F,5,0)</f>
        <v>KA销售中心</v>
      </c>
      <c r="G108" s="9" t="str">
        <f>VLOOKUP(E108,'[1]202501入账'!$A:$F,6,0)</f>
        <v>渠道合作组-西南区</v>
      </c>
      <c r="H108" s="2" t="s">
        <v>1</v>
      </c>
      <c r="I108" s="6">
        <v>45677.7951388889</v>
      </c>
      <c r="J108" s="3">
        <v>45677</v>
      </c>
      <c r="K108" s="3">
        <v>45678</v>
      </c>
      <c r="L108" s="2" t="s">
        <v>746</v>
      </c>
      <c r="M108" s="2" t="s">
        <v>1078</v>
      </c>
      <c r="N108" s="2" t="s">
        <v>1079</v>
      </c>
      <c r="O108" s="2" t="s">
        <v>1080</v>
      </c>
      <c r="P108" s="5">
        <v>0</v>
      </c>
      <c r="Q108" s="5">
        <v>269</v>
      </c>
      <c r="R108" s="2">
        <v>1</v>
      </c>
      <c r="S108" s="2" t="s">
        <v>780</v>
      </c>
      <c r="T108" s="2">
        <v>1</v>
      </c>
      <c r="U108" s="5">
        <v>269</v>
      </c>
      <c r="V108" s="5">
        <v>0</v>
      </c>
      <c r="W108" s="2" t="s">
        <v>1</v>
      </c>
      <c r="X108" s="2" t="s">
        <v>723</v>
      </c>
      <c r="Y108" s="2" t="s">
        <v>724</v>
      </c>
      <c r="Z108" s="2" t="s">
        <v>1</v>
      </c>
      <c r="AA108" s="2" t="s">
        <v>1</v>
      </c>
      <c r="AB108" s="2" t="s">
        <v>1</v>
      </c>
      <c r="AC108" s="2" t="s">
        <v>1</v>
      </c>
      <c r="AD108" s="2" t="s">
        <v>1</v>
      </c>
      <c r="AE108" s="2" t="s">
        <v>1</v>
      </c>
      <c r="AF108" s="2" t="s">
        <v>1095</v>
      </c>
      <c r="AG108" s="2" t="s">
        <v>101</v>
      </c>
      <c r="AH108" s="5">
        <v>0</v>
      </c>
      <c r="AI108" s="5">
        <v>269</v>
      </c>
      <c r="AJ108" s="5">
        <v>0</v>
      </c>
    </row>
    <row r="109" ht="17.5" customHeight="1" spans="1:36">
      <c r="A109" s="2" t="s">
        <v>1096</v>
      </c>
      <c r="B109" s="2" t="s">
        <v>727</v>
      </c>
      <c r="C109" s="2" t="s">
        <v>919</v>
      </c>
      <c r="D109" s="2" t="s">
        <v>920</v>
      </c>
      <c r="E109" s="2" t="s">
        <v>920</v>
      </c>
      <c r="F109" s="9" t="str">
        <f>VLOOKUP(E109,'[1]202501入账'!$A:$F,5,0)</f>
        <v>KA销售中心</v>
      </c>
      <c r="G109" s="9" t="str">
        <f>VLOOKUP(E109,'[1]202501入账'!$A:$F,6,0)</f>
        <v>KA销售组</v>
      </c>
      <c r="H109" s="2" t="s">
        <v>1</v>
      </c>
      <c r="I109" s="6">
        <v>45653.5465277778</v>
      </c>
      <c r="J109" s="3">
        <v>45653</v>
      </c>
      <c r="K109" s="3">
        <v>45654</v>
      </c>
      <c r="L109" s="2" t="s">
        <v>752</v>
      </c>
      <c r="M109" s="2" t="s">
        <v>921</v>
      </c>
      <c r="N109" s="2" t="s">
        <v>922</v>
      </c>
      <c r="O109" s="2" t="s">
        <v>923</v>
      </c>
      <c r="P109" s="5">
        <v>0</v>
      </c>
      <c r="Q109" s="5">
        <v>242</v>
      </c>
      <c r="R109" s="2">
        <v>1</v>
      </c>
      <c r="S109" s="2" t="s">
        <v>722</v>
      </c>
      <c r="T109" s="2">
        <v>1</v>
      </c>
      <c r="U109" s="5">
        <v>242</v>
      </c>
      <c r="V109" s="5">
        <v>14.52</v>
      </c>
      <c r="W109" s="2" t="s">
        <v>1</v>
      </c>
      <c r="X109" s="2" t="s">
        <v>723</v>
      </c>
      <c r="Y109" s="2" t="s">
        <v>724</v>
      </c>
      <c r="Z109" s="2" t="s">
        <v>1</v>
      </c>
      <c r="AA109" s="2" t="s">
        <v>1</v>
      </c>
      <c r="AB109" s="2" t="s">
        <v>1</v>
      </c>
      <c r="AC109" s="2" t="s">
        <v>1</v>
      </c>
      <c r="AD109" s="2" t="s">
        <v>1</v>
      </c>
      <c r="AE109" s="2" t="s">
        <v>1</v>
      </c>
      <c r="AF109" s="2" t="s">
        <v>924</v>
      </c>
      <c r="AG109" s="2" t="s">
        <v>101</v>
      </c>
      <c r="AH109" s="5">
        <v>0</v>
      </c>
      <c r="AI109" s="5">
        <v>256.52</v>
      </c>
      <c r="AJ109" s="5">
        <v>0</v>
      </c>
    </row>
    <row r="110" ht="17.5" customHeight="1" spans="1:36">
      <c r="A110" s="2" t="s">
        <v>1097</v>
      </c>
      <c r="B110" s="2" t="s">
        <v>727</v>
      </c>
      <c r="C110" s="2" t="s">
        <v>219</v>
      </c>
      <c r="D110" s="2" t="s">
        <v>220</v>
      </c>
      <c r="E110" s="2" t="s">
        <v>220</v>
      </c>
      <c r="F110" s="9" t="str">
        <f>VLOOKUP(E110,'[1]202501入账'!$A:$F,5,0)</f>
        <v>自营销售中心</v>
      </c>
      <c r="G110" s="9" t="str">
        <f>VLOOKUP(E110,'[1]202501入账'!$A:$F,6,0)</f>
        <v>短剧组</v>
      </c>
      <c r="H110" s="2" t="s">
        <v>1</v>
      </c>
      <c r="I110" s="6">
        <v>45656.6111111111</v>
      </c>
      <c r="J110" s="3">
        <v>45663</v>
      </c>
      <c r="K110" s="3">
        <v>45665</v>
      </c>
      <c r="L110" s="2" t="s">
        <v>746</v>
      </c>
      <c r="M110" s="2" t="s">
        <v>939</v>
      </c>
      <c r="N110" s="2" t="s">
        <v>940</v>
      </c>
      <c r="O110" s="2" t="s">
        <v>749</v>
      </c>
      <c r="P110" s="5">
        <v>0</v>
      </c>
      <c r="Q110" s="5">
        <v>323.5</v>
      </c>
      <c r="R110" s="2">
        <v>1</v>
      </c>
      <c r="S110" s="2" t="s">
        <v>741</v>
      </c>
      <c r="T110" s="2">
        <v>2</v>
      </c>
      <c r="U110" s="5">
        <v>600</v>
      </c>
      <c r="V110" s="5">
        <v>0</v>
      </c>
      <c r="W110" s="2" t="s">
        <v>1</v>
      </c>
      <c r="X110" s="2" t="s">
        <v>723</v>
      </c>
      <c r="Y110" s="2" t="s">
        <v>724</v>
      </c>
      <c r="Z110" s="2" t="s">
        <v>1</v>
      </c>
      <c r="AA110" s="2" t="s">
        <v>1</v>
      </c>
      <c r="AB110" s="2" t="s">
        <v>1</v>
      </c>
      <c r="AC110" s="2" t="s">
        <v>1</v>
      </c>
      <c r="AD110" s="2" t="s">
        <v>1</v>
      </c>
      <c r="AE110" s="2" t="s">
        <v>1</v>
      </c>
      <c r="AF110" s="2" t="s">
        <v>994</v>
      </c>
      <c r="AG110" s="2" t="s">
        <v>101</v>
      </c>
      <c r="AH110" s="5">
        <v>0</v>
      </c>
      <c r="AI110" s="5">
        <v>600</v>
      </c>
      <c r="AJ110" s="5">
        <v>0</v>
      </c>
    </row>
    <row r="111" ht="17.5" customHeight="1" spans="1:36">
      <c r="A111" s="2" t="s">
        <v>1098</v>
      </c>
      <c r="B111" s="2" t="s">
        <v>727</v>
      </c>
      <c r="C111" s="2" t="s">
        <v>442</v>
      </c>
      <c r="D111" s="2" t="s">
        <v>443</v>
      </c>
      <c r="E111" s="2" t="s">
        <v>443</v>
      </c>
      <c r="F111" s="9" t="str">
        <f>VLOOKUP(E111,'[1]202501入账'!$A:$F,5,0)</f>
        <v>运营支持中心</v>
      </c>
      <c r="G111" s="9" t="str">
        <f>VLOOKUP(E111,'[1]202501入账'!$A:$F,6,0)</f>
        <v>新零售服务二组</v>
      </c>
      <c r="H111" s="2" t="s">
        <v>1</v>
      </c>
      <c r="I111" s="6">
        <v>45660.5888888889</v>
      </c>
      <c r="J111" s="3">
        <v>45660</v>
      </c>
      <c r="K111" s="3">
        <v>45661</v>
      </c>
      <c r="L111" s="2" t="s">
        <v>947</v>
      </c>
      <c r="M111" s="2" t="s">
        <v>948</v>
      </c>
      <c r="N111" s="2" t="s">
        <v>949</v>
      </c>
      <c r="O111" s="2" t="s">
        <v>758</v>
      </c>
      <c r="P111" s="5">
        <v>0</v>
      </c>
      <c r="Q111" s="5">
        <v>250</v>
      </c>
      <c r="R111" s="2">
        <v>1</v>
      </c>
      <c r="S111" s="2" t="s">
        <v>741</v>
      </c>
      <c r="T111" s="2">
        <v>1</v>
      </c>
      <c r="U111" s="5">
        <v>250</v>
      </c>
      <c r="V111" s="5">
        <v>15</v>
      </c>
      <c r="W111" s="2" t="s">
        <v>1</v>
      </c>
      <c r="X111" s="2" t="s">
        <v>723</v>
      </c>
      <c r="Y111" s="2" t="s">
        <v>724</v>
      </c>
      <c r="Z111" s="2" t="s">
        <v>1</v>
      </c>
      <c r="AA111" s="2" t="s">
        <v>1</v>
      </c>
      <c r="AB111" s="2" t="s">
        <v>1</v>
      </c>
      <c r="AC111" s="2" t="s">
        <v>1</v>
      </c>
      <c r="AD111" s="2" t="s">
        <v>1</v>
      </c>
      <c r="AE111" s="2" t="s">
        <v>1</v>
      </c>
      <c r="AF111" s="2" t="s">
        <v>1099</v>
      </c>
      <c r="AG111" s="2" t="s">
        <v>101</v>
      </c>
      <c r="AH111" s="5">
        <v>0</v>
      </c>
      <c r="AI111" s="5">
        <v>265</v>
      </c>
      <c r="AJ111" s="5">
        <v>0</v>
      </c>
    </row>
    <row r="112" ht="17.5" customHeight="1" spans="1:36">
      <c r="A112" s="2" t="s">
        <v>1100</v>
      </c>
      <c r="B112" s="2" t="s">
        <v>727</v>
      </c>
      <c r="C112" s="2" t="s">
        <v>867</v>
      </c>
      <c r="D112" s="2" t="s">
        <v>868</v>
      </c>
      <c r="E112" s="2" t="s">
        <v>868</v>
      </c>
      <c r="F112" s="9" t="str">
        <f>VLOOKUP(E112,'[1]202501入账'!$A:$F,5,0)</f>
        <v>KA销售中心</v>
      </c>
      <c r="G112" s="9" t="str">
        <f>VLOOKUP(E112,'[1]202501入账'!$A:$F,6,0)</f>
        <v>KA销售组</v>
      </c>
      <c r="H112" s="2" t="s">
        <v>1</v>
      </c>
      <c r="I112" s="6">
        <v>45663.4347222222</v>
      </c>
      <c r="J112" s="3">
        <v>45663</v>
      </c>
      <c r="K112" s="3">
        <v>45664</v>
      </c>
      <c r="L112" s="2" t="s">
        <v>776</v>
      </c>
      <c r="M112" s="2" t="s">
        <v>987</v>
      </c>
      <c r="N112" s="2" t="s">
        <v>988</v>
      </c>
      <c r="O112" s="2" t="s">
        <v>786</v>
      </c>
      <c r="P112" s="5">
        <v>0</v>
      </c>
      <c r="Q112" s="5">
        <v>253</v>
      </c>
      <c r="R112" s="2">
        <v>1</v>
      </c>
      <c r="S112" s="2" t="s">
        <v>780</v>
      </c>
      <c r="T112" s="2">
        <v>1</v>
      </c>
      <c r="U112" s="5">
        <v>253</v>
      </c>
      <c r="V112" s="5">
        <v>0</v>
      </c>
      <c r="W112" s="2" t="s">
        <v>1</v>
      </c>
      <c r="X112" s="2" t="s">
        <v>723</v>
      </c>
      <c r="Y112" s="2" t="s">
        <v>724</v>
      </c>
      <c r="Z112" s="2" t="s">
        <v>1</v>
      </c>
      <c r="AA112" s="2" t="s">
        <v>1</v>
      </c>
      <c r="AB112" s="2" t="s">
        <v>1</v>
      </c>
      <c r="AC112" s="2" t="s">
        <v>1</v>
      </c>
      <c r="AD112" s="2" t="s">
        <v>1</v>
      </c>
      <c r="AE112" s="2" t="s">
        <v>1</v>
      </c>
      <c r="AF112" s="2" t="s">
        <v>989</v>
      </c>
      <c r="AG112" s="2" t="s">
        <v>101</v>
      </c>
      <c r="AH112" s="5">
        <v>0</v>
      </c>
      <c r="AI112" s="5">
        <v>253</v>
      </c>
      <c r="AJ112" s="5">
        <v>0</v>
      </c>
    </row>
    <row r="113" ht="17.5" customHeight="1" spans="1:36">
      <c r="A113" s="2" t="s">
        <v>1101</v>
      </c>
      <c r="B113" s="2" t="s">
        <v>727</v>
      </c>
      <c r="C113" s="2" t="s">
        <v>716</v>
      </c>
      <c r="D113" s="2" t="s">
        <v>717</v>
      </c>
      <c r="E113" s="2" t="s">
        <v>717</v>
      </c>
      <c r="F113" s="9" t="str">
        <f>VLOOKUP(E113,'[1]202501入账'!$A:$F,5,0)</f>
        <v>KA销售中心</v>
      </c>
      <c r="G113" s="9" t="str">
        <f>VLOOKUP(E113,'[1]202501入账'!$A:$F,6,0)</f>
        <v>KA销售组</v>
      </c>
      <c r="H113" s="2" t="s">
        <v>1</v>
      </c>
      <c r="I113" s="6">
        <v>45664.5118055556</v>
      </c>
      <c r="J113" s="3">
        <v>45664</v>
      </c>
      <c r="K113" s="3">
        <v>45665</v>
      </c>
      <c r="L113" s="2" t="s">
        <v>718</v>
      </c>
      <c r="M113" s="2" t="s">
        <v>998</v>
      </c>
      <c r="N113" s="2" t="s">
        <v>999</v>
      </c>
      <c r="O113" s="2" t="s">
        <v>721</v>
      </c>
      <c r="P113" s="5">
        <v>0</v>
      </c>
      <c r="Q113" s="5">
        <v>157</v>
      </c>
      <c r="R113" s="2">
        <v>1</v>
      </c>
      <c r="S113" s="2" t="s">
        <v>741</v>
      </c>
      <c r="T113" s="2">
        <v>1</v>
      </c>
      <c r="U113" s="5">
        <v>157</v>
      </c>
      <c r="V113" s="5">
        <v>9.42</v>
      </c>
      <c r="W113" s="2" t="s">
        <v>1</v>
      </c>
      <c r="X113" s="2" t="s">
        <v>723</v>
      </c>
      <c r="Y113" s="2" t="s">
        <v>724</v>
      </c>
      <c r="Z113" s="2" t="s">
        <v>1</v>
      </c>
      <c r="AA113" s="2" t="s">
        <v>1</v>
      </c>
      <c r="AB113" s="2" t="s">
        <v>1</v>
      </c>
      <c r="AC113" s="2" t="s">
        <v>1</v>
      </c>
      <c r="AD113" s="2" t="s">
        <v>1</v>
      </c>
      <c r="AE113" s="2" t="s">
        <v>1</v>
      </c>
      <c r="AF113" s="2" t="s">
        <v>1000</v>
      </c>
      <c r="AG113" s="2" t="s">
        <v>101</v>
      </c>
      <c r="AH113" s="5">
        <v>0</v>
      </c>
      <c r="AI113" s="5">
        <v>166.42</v>
      </c>
      <c r="AJ113" s="5">
        <v>0</v>
      </c>
    </row>
    <row r="114" ht="17.5" customHeight="1" spans="1:36">
      <c r="A114" s="2" t="s">
        <v>1102</v>
      </c>
      <c r="B114" s="2" t="s">
        <v>727</v>
      </c>
      <c r="C114" s="2" t="s">
        <v>919</v>
      </c>
      <c r="D114" s="2" t="s">
        <v>920</v>
      </c>
      <c r="E114" s="2" t="s">
        <v>920</v>
      </c>
      <c r="F114" s="9" t="str">
        <f>VLOOKUP(E114,'[1]202501入账'!$A:$F,5,0)</f>
        <v>KA销售中心</v>
      </c>
      <c r="G114" s="9" t="str">
        <f>VLOOKUP(E114,'[1]202501入账'!$A:$F,6,0)</f>
        <v>KA销售组</v>
      </c>
      <c r="H114" s="2" t="s">
        <v>1</v>
      </c>
      <c r="I114" s="6">
        <v>45666.43125</v>
      </c>
      <c r="J114" s="3">
        <v>45666</v>
      </c>
      <c r="K114" s="3">
        <v>45667</v>
      </c>
      <c r="L114" s="2" t="s">
        <v>718</v>
      </c>
      <c r="M114" s="2" t="s">
        <v>1002</v>
      </c>
      <c r="N114" s="2" t="s">
        <v>1003</v>
      </c>
      <c r="O114" s="2" t="s">
        <v>1004</v>
      </c>
      <c r="P114" s="5">
        <v>0</v>
      </c>
      <c r="Q114" s="5">
        <v>243</v>
      </c>
      <c r="R114" s="2">
        <v>1</v>
      </c>
      <c r="S114" s="2" t="s">
        <v>741</v>
      </c>
      <c r="T114" s="2">
        <v>1</v>
      </c>
      <c r="U114" s="5">
        <v>243</v>
      </c>
      <c r="V114" s="5">
        <v>14.58</v>
      </c>
      <c r="W114" s="2" t="s">
        <v>1</v>
      </c>
      <c r="X114" s="2" t="s">
        <v>723</v>
      </c>
      <c r="Y114" s="2" t="s">
        <v>724</v>
      </c>
      <c r="Z114" s="2" t="s">
        <v>1</v>
      </c>
      <c r="AA114" s="2" t="s">
        <v>1</v>
      </c>
      <c r="AB114" s="2" t="s">
        <v>1</v>
      </c>
      <c r="AC114" s="2" t="s">
        <v>1</v>
      </c>
      <c r="AD114" s="2" t="s">
        <v>1</v>
      </c>
      <c r="AE114" s="2" t="s">
        <v>1</v>
      </c>
      <c r="AF114" s="2" t="s">
        <v>1103</v>
      </c>
      <c r="AG114" s="2" t="s">
        <v>101</v>
      </c>
      <c r="AH114" s="5">
        <v>0</v>
      </c>
      <c r="AI114" s="5">
        <v>257.58</v>
      </c>
      <c r="AJ114" s="5">
        <v>0</v>
      </c>
    </row>
    <row r="115" ht="17.5" customHeight="1" spans="1:36">
      <c r="A115" s="2" t="s">
        <v>1104</v>
      </c>
      <c r="B115" s="2" t="s">
        <v>727</v>
      </c>
      <c r="C115" s="2" t="s">
        <v>568</v>
      </c>
      <c r="D115" s="2" t="s">
        <v>569</v>
      </c>
      <c r="E115" s="2" t="s">
        <v>569</v>
      </c>
      <c r="F115" s="9" t="str">
        <f>VLOOKUP(E115,'[1]202501入账'!$A:$F,5,0)</f>
        <v>运营支持中心</v>
      </c>
      <c r="G115" s="9" t="str">
        <f>VLOOKUP(E115,'[1]202501入账'!$A:$F,6,0)</f>
        <v>新零售服务二组</v>
      </c>
      <c r="H115" s="2" t="s">
        <v>1</v>
      </c>
      <c r="I115" s="6">
        <v>45670.8944444444</v>
      </c>
      <c r="J115" s="3">
        <v>45671</v>
      </c>
      <c r="K115" s="3">
        <v>45672</v>
      </c>
      <c r="L115" s="2" t="s">
        <v>884</v>
      </c>
      <c r="M115" s="2" t="s">
        <v>1105</v>
      </c>
      <c r="N115" s="2" t="s">
        <v>1105</v>
      </c>
      <c r="O115" s="2" t="s">
        <v>1106</v>
      </c>
      <c r="P115" s="5">
        <v>0</v>
      </c>
      <c r="Q115" s="5">
        <v>226</v>
      </c>
      <c r="R115" s="2">
        <v>1</v>
      </c>
      <c r="S115" s="2" t="s">
        <v>741</v>
      </c>
      <c r="T115" s="2">
        <v>1</v>
      </c>
      <c r="U115" s="5">
        <v>211</v>
      </c>
      <c r="V115" s="5">
        <v>0</v>
      </c>
      <c r="W115" s="2" t="s">
        <v>1</v>
      </c>
      <c r="X115" s="2" t="s">
        <v>723</v>
      </c>
      <c r="Y115" s="2" t="s">
        <v>724</v>
      </c>
      <c r="Z115" s="2" t="s">
        <v>1</v>
      </c>
      <c r="AA115" s="2" t="s">
        <v>1</v>
      </c>
      <c r="AB115" s="2" t="s">
        <v>1</v>
      </c>
      <c r="AC115" s="2" t="s">
        <v>1</v>
      </c>
      <c r="AD115" s="2" t="s">
        <v>1</v>
      </c>
      <c r="AE115" s="2" t="s">
        <v>1</v>
      </c>
      <c r="AF115" s="2" t="s">
        <v>1107</v>
      </c>
      <c r="AG115" s="2" t="s">
        <v>101</v>
      </c>
      <c r="AH115" s="5">
        <v>0</v>
      </c>
      <c r="AI115" s="5">
        <v>211</v>
      </c>
      <c r="AJ115" s="5">
        <v>0</v>
      </c>
    </row>
    <row r="116" ht="17.5" customHeight="1" spans="1:36">
      <c r="A116" s="2" t="s">
        <v>1108</v>
      </c>
      <c r="B116" s="2" t="s">
        <v>727</v>
      </c>
      <c r="C116" s="2" t="s">
        <v>919</v>
      </c>
      <c r="D116" s="2" t="s">
        <v>920</v>
      </c>
      <c r="E116" s="2" t="s">
        <v>920</v>
      </c>
      <c r="F116" s="9" t="str">
        <f>VLOOKUP(E116,'[1]202501入账'!$A:$F,5,0)</f>
        <v>KA销售中心</v>
      </c>
      <c r="G116" s="9" t="str">
        <f>VLOOKUP(E116,'[1]202501入账'!$A:$F,6,0)</f>
        <v>KA销售组</v>
      </c>
      <c r="H116" s="2" t="s">
        <v>1</v>
      </c>
      <c r="I116" s="6">
        <v>45672.5013888889</v>
      </c>
      <c r="J116" s="3">
        <v>45672</v>
      </c>
      <c r="K116" s="3">
        <v>45673</v>
      </c>
      <c r="L116" s="2" t="s">
        <v>1053</v>
      </c>
      <c r="M116" s="2" t="s">
        <v>1109</v>
      </c>
      <c r="N116" s="2" t="s">
        <v>1110</v>
      </c>
      <c r="O116" s="2" t="s">
        <v>1111</v>
      </c>
      <c r="P116" s="5">
        <v>0</v>
      </c>
      <c r="Q116" s="5">
        <v>236</v>
      </c>
      <c r="R116" s="2">
        <v>1</v>
      </c>
      <c r="S116" s="2" t="s">
        <v>741</v>
      </c>
      <c r="T116" s="2">
        <v>1</v>
      </c>
      <c r="U116" s="5">
        <v>236</v>
      </c>
      <c r="V116" s="5">
        <v>14.16</v>
      </c>
      <c r="W116" s="2" t="s">
        <v>1</v>
      </c>
      <c r="X116" s="2" t="s">
        <v>723</v>
      </c>
      <c r="Y116" s="2" t="s">
        <v>724</v>
      </c>
      <c r="Z116" s="2" t="s">
        <v>1</v>
      </c>
      <c r="AA116" s="2" t="s">
        <v>1</v>
      </c>
      <c r="AB116" s="2" t="s">
        <v>1</v>
      </c>
      <c r="AC116" s="2" t="s">
        <v>1</v>
      </c>
      <c r="AD116" s="2" t="s">
        <v>1</v>
      </c>
      <c r="AE116" s="2" t="s">
        <v>1</v>
      </c>
      <c r="AF116" s="2" t="s">
        <v>1057</v>
      </c>
      <c r="AG116" s="2" t="s">
        <v>101</v>
      </c>
      <c r="AH116" s="5">
        <v>0</v>
      </c>
      <c r="AI116" s="5">
        <v>250.16</v>
      </c>
      <c r="AJ116" s="5">
        <v>0</v>
      </c>
    </row>
    <row r="117" ht="17.5" customHeight="1" spans="1:36">
      <c r="A117" s="2" t="s">
        <v>1112</v>
      </c>
      <c r="B117" s="2" t="s">
        <v>727</v>
      </c>
      <c r="C117" s="2" t="s">
        <v>442</v>
      </c>
      <c r="D117" s="2" t="s">
        <v>443</v>
      </c>
      <c r="E117" s="2" t="s">
        <v>443</v>
      </c>
      <c r="F117" s="9" t="str">
        <f>VLOOKUP(E117,'[1]202501入账'!$A:$F,5,0)</f>
        <v>运营支持中心</v>
      </c>
      <c r="G117" s="9" t="str">
        <f>VLOOKUP(E117,'[1]202501入账'!$A:$F,6,0)</f>
        <v>新零售服务二组</v>
      </c>
      <c r="H117" s="2" t="s">
        <v>1</v>
      </c>
      <c r="I117" s="6">
        <v>45677.6715277778</v>
      </c>
      <c r="J117" s="3">
        <v>45678</v>
      </c>
      <c r="K117" s="3">
        <v>45680</v>
      </c>
      <c r="L117" s="2" t="s">
        <v>1113</v>
      </c>
      <c r="M117" s="2" t="s">
        <v>1114</v>
      </c>
      <c r="N117" s="2" t="s">
        <v>1115</v>
      </c>
      <c r="O117" s="2" t="s">
        <v>749</v>
      </c>
      <c r="P117" s="5">
        <v>0</v>
      </c>
      <c r="Q117" s="5">
        <v>249</v>
      </c>
      <c r="R117" s="2">
        <v>1</v>
      </c>
      <c r="S117" s="2" t="s">
        <v>741</v>
      </c>
      <c r="T117" s="2">
        <v>2</v>
      </c>
      <c r="U117" s="5">
        <v>498</v>
      </c>
      <c r="V117" s="5">
        <v>29.88</v>
      </c>
      <c r="W117" s="2" t="s">
        <v>1</v>
      </c>
      <c r="X117" s="2" t="s">
        <v>723</v>
      </c>
      <c r="Y117" s="2" t="s">
        <v>724</v>
      </c>
      <c r="Z117" s="2" t="s">
        <v>1</v>
      </c>
      <c r="AA117" s="2" t="s">
        <v>1</v>
      </c>
      <c r="AB117" s="2" t="s">
        <v>1</v>
      </c>
      <c r="AC117" s="2" t="s">
        <v>1</v>
      </c>
      <c r="AD117" s="2" t="s">
        <v>1</v>
      </c>
      <c r="AE117" s="2" t="s">
        <v>1</v>
      </c>
      <c r="AF117" s="2" t="s">
        <v>1116</v>
      </c>
      <c r="AG117" s="2" t="s">
        <v>101</v>
      </c>
      <c r="AH117" s="5">
        <v>0</v>
      </c>
      <c r="AI117" s="5">
        <v>527.88</v>
      </c>
      <c r="AJ117" s="5">
        <v>0</v>
      </c>
    </row>
    <row r="118" ht="18" customHeight="1" spans="1:36">
      <c r="A118" s="7"/>
      <c r="B118" s="7"/>
      <c r="C118" s="7"/>
      <c r="D118" s="7"/>
      <c r="E118" s="7"/>
      <c r="F118" s="9" t="e">
        <f>VLOOKUP(E118,'[1]202501入账'!$A:$F,5,0)</f>
        <v>#N/A</v>
      </c>
      <c r="G118" s="9" t="e">
        <f>VLOOKUP(E118,'[1]202501入账'!$A:$F,6,0)</f>
        <v>#N/A</v>
      </c>
      <c r="H118" s="7"/>
      <c r="I118" s="7"/>
      <c r="J118" s="7"/>
      <c r="K118" s="7"/>
      <c r="L118" s="7"/>
      <c r="M118" s="7"/>
      <c r="N118" s="7"/>
      <c r="O118" s="7"/>
      <c r="P118" s="7">
        <v>0</v>
      </c>
      <c r="Q118" s="7">
        <v>35771.53</v>
      </c>
      <c r="R118" s="7"/>
      <c r="S118" s="7"/>
      <c r="T118" s="7">
        <v>146</v>
      </c>
      <c r="U118" s="7">
        <v>46573</v>
      </c>
      <c r="V118" s="7">
        <v>839.28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>
        <v>0</v>
      </c>
      <c r="AI118" s="7">
        <v>47412.28</v>
      </c>
      <c r="AJ118" s="7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"/>
  <sheetViews>
    <sheetView tabSelected="1" workbookViewId="0">
      <selection activeCell="G20" sqref="G20"/>
    </sheetView>
  </sheetViews>
  <sheetFormatPr defaultColWidth="9" defaultRowHeight="14.4" outlineLevelRow="3"/>
  <cols>
    <col min="1" max="1" width="16" customWidth="1"/>
    <col min="2" max="2" width="10" customWidth="1"/>
    <col min="3" max="3" width="15" customWidth="1"/>
    <col min="4" max="4" width="10" customWidth="1"/>
    <col min="5" max="6" width="18" customWidth="1"/>
    <col min="7" max="7" width="30" customWidth="1"/>
    <col min="8" max="8" width="39.3611111111111" customWidth="1"/>
    <col min="9" max="10" width="9" customWidth="1"/>
    <col min="11" max="11" width="20" customWidth="1"/>
    <col min="12" max="12" width="14" customWidth="1"/>
    <col min="13" max="13" width="10" customWidth="1"/>
    <col min="14" max="14" width="20" customWidth="1"/>
    <col min="15" max="15" width="15" customWidth="1"/>
    <col min="16" max="16" width="9" customWidth="1"/>
    <col min="17" max="17" width="15" customWidth="1"/>
    <col min="18" max="18" width="30" customWidth="1"/>
    <col min="19" max="20" width="11" customWidth="1"/>
    <col min="21" max="22" width="13" customWidth="1"/>
    <col min="23" max="25" width="14" customWidth="1"/>
    <col min="26" max="26" width="13" customWidth="1"/>
    <col min="27" max="31" width="9" customWidth="1"/>
    <col min="32" max="32" width="12" customWidth="1"/>
    <col min="33" max="33" width="22" customWidth="1"/>
    <col min="34" max="35" width="30" customWidth="1"/>
    <col min="36" max="36" width="13" customWidth="1"/>
  </cols>
  <sheetData>
    <row r="1" ht="35" customHeight="1" spans="1:36">
      <c r="A1" s="1" t="s">
        <v>59</v>
      </c>
      <c r="B1" s="1" t="s">
        <v>62</v>
      </c>
      <c r="C1" s="1" t="s">
        <v>63</v>
      </c>
      <c r="D1" s="1" t="s">
        <v>1117</v>
      </c>
      <c r="E1" s="1" t="s">
        <v>67</v>
      </c>
      <c r="F1" s="1" t="s">
        <v>1118</v>
      </c>
      <c r="G1" s="1" t="s">
        <v>1119</v>
      </c>
      <c r="H1" s="1" t="s">
        <v>1120</v>
      </c>
      <c r="I1" s="1" t="s">
        <v>65</v>
      </c>
      <c r="J1" s="1" t="s">
        <v>1121</v>
      </c>
      <c r="K1" s="1" t="s">
        <v>712</v>
      </c>
      <c r="L1" s="1" t="s">
        <v>80</v>
      </c>
      <c r="M1" s="1" t="s">
        <v>1122</v>
      </c>
      <c r="N1" s="1" t="s">
        <v>1123</v>
      </c>
      <c r="O1" s="1" t="s">
        <v>1124</v>
      </c>
      <c r="P1" s="1" t="s">
        <v>1125</v>
      </c>
      <c r="Q1" s="1" t="s">
        <v>1126</v>
      </c>
      <c r="R1" s="1" t="s">
        <v>1127</v>
      </c>
      <c r="S1" s="1" t="s">
        <v>1128</v>
      </c>
      <c r="T1" s="1" t="s">
        <v>703</v>
      </c>
      <c r="U1" s="1" t="s">
        <v>704</v>
      </c>
      <c r="V1" s="1" t="s">
        <v>705</v>
      </c>
      <c r="W1" s="1" t="s">
        <v>1129</v>
      </c>
      <c r="X1" s="1" t="s">
        <v>89</v>
      </c>
      <c r="Y1" s="1" t="s">
        <v>1130</v>
      </c>
      <c r="Z1" s="1" t="s">
        <v>709</v>
      </c>
      <c r="AA1" s="1" t="s">
        <v>1131</v>
      </c>
      <c r="AB1" s="1" t="s">
        <v>1132</v>
      </c>
      <c r="AC1" s="1" t="s">
        <v>1133</v>
      </c>
      <c r="AD1" s="1" t="s">
        <v>1134</v>
      </c>
      <c r="AE1" s="1" t="s">
        <v>1135</v>
      </c>
      <c r="AF1" s="1" t="s">
        <v>1136</v>
      </c>
      <c r="AG1" s="1" t="s">
        <v>1137</v>
      </c>
      <c r="AH1" s="1" t="s">
        <v>1138</v>
      </c>
      <c r="AI1" s="1" t="s">
        <v>1139</v>
      </c>
      <c r="AJ1" s="1" t="s">
        <v>686</v>
      </c>
    </row>
    <row r="2" ht="17.5" customHeight="1" spans="1:36">
      <c r="A2" s="2" t="s">
        <v>1140</v>
      </c>
      <c r="B2" s="2" t="s">
        <v>148</v>
      </c>
      <c r="C2" s="2" t="s">
        <v>149</v>
      </c>
      <c r="D2" s="2" t="s">
        <v>1141</v>
      </c>
      <c r="E2" s="3">
        <v>45653</v>
      </c>
      <c r="F2" s="3">
        <v>45656</v>
      </c>
      <c r="G2" s="2" t="s">
        <v>1142</v>
      </c>
      <c r="H2" s="2" t="s">
        <v>1143</v>
      </c>
      <c r="I2" s="4" t="s">
        <v>1144</v>
      </c>
      <c r="J2" s="2">
        <v>1</v>
      </c>
      <c r="K2" s="5">
        <v>64</v>
      </c>
      <c r="L2" s="5">
        <v>0</v>
      </c>
      <c r="M2" s="5">
        <v>64</v>
      </c>
      <c r="N2" s="5">
        <v>0</v>
      </c>
      <c r="O2" s="5">
        <v>0</v>
      </c>
      <c r="P2" s="5">
        <v>0</v>
      </c>
      <c r="Q2" s="2" t="s">
        <v>1145</v>
      </c>
      <c r="R2" s="6" t="s">
        <v>1</v>
      </c>
      <c r="S2" s="2" t="s">
        <v>175</v>
      </c>
      <c r="T2" s="2" t="s">
        <v>1</v>
      </c>
      <c r="U2" s="2" t="s">
        <v>1</v>
      </c>
      <c r="V2" s="2" t="s">
        <v>1</v>
      </c>
      <c r="W2" s="2" t="s">
        <v>1</v>
      </c>
      <c r="X2" s="5">
        <v>0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1146</v>
      </c>
      <c r="AI2" s="2" t="s">
        <v>1</v>
      </c>
      <c r="AJ2" s="2" t="s">
        <v>727</v>
      </c>
    </row>
    <row r="3" ht="17.5" customHeight="1" spans="1:36">
      <c r="A3" s="2" t="s">
        <v>1147</v>
      </c>
      <c r="B3" s="2" t="s">
        <v>148</v>
      </c>
      <c r="C3" s="2" t="s">
        <v>149</v>
      </c>
      <c r="D3" s="2" t="s">
        <v>1141</v>
      </c>
      <c r="E3" s="3">
        <v>45656</v>
      </c>
      <c r="F3" s="3">
        <v>45657</v>
      </c>
      <c r="G3" s="2" t="s">
        <v>1148</v>
      </c>
      <c r="H3" s="2" t="s">
        <v>1149</v>
      </c>
      <c r="I3" s="4" t="s">
        <v>1144</v>
      </c>
      <c r="J3" s="2">
        <v>1</v>
      </c>
      <c r="K3" s="5">
        <v>74</v>
      </c>
      <c r="L3" s="5">
        <v>0</v>
      </c>
      <c r="M3" s="5">
        <v>74</v>
      </c>
      <c r="N3" s="5">
        <v>0</v>
      </c>
      <c r="O3" s="5">
        <v>0</v>
      </c>
      <c r="P3" s="5">
        <v>0</v>
      </c>
      <c r="Q3" s="2" t="s">
        <v>1145</v>
      </c>
      <c r="R3" s="6" t="s">
        <v>1</v>
      </c>
      <c r="S3" s="2" t="s">
        <v>175</v>
      </c>
      <c r="T3" s="2" t="s">
        <v>1</v>
      </c>
      <c r="U3" s="2" t="s">
        <v>1</v>
      </c>
      <c r="V3" s="2" t="s">
        <v>1</v>
      </c>
      <c r="W3" s="2" t="s">
        <v>1</v>
      </c>
      <c r="X3" s="5">
        <v>0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1150</v>
      </c>
      <c r="AI3" s="2" t="s">
        <v>1</v>
      </c>
      <c r="AJ3" s="2" t="s">
        <v>727</v>
      </c>
    </row>
    <row r="4" ht="18" customHeight="1" spans="1:36">
      <c r="A4" s="7"/>
      <c r="B4" s="7"/>
      <c r="C4" s="7"/>
      <c r="D4" s="7"/>
      <c r="E4" s="7"/>
      <c r="F4" s="7"/>
      <c r="G4" s="7"/>
      <c r="H4" s="7"/>
      <c r="I4" s="7"/>
      <c r="J4" s="7"/>
      <c r="K4" s="7">
        <v>138</v>
      </c>
      <c r="L4" s="7">
        <v>0</v>
      </c>
      <c r="M4" s="7">
        <v>138</v>
      </c>
      <c r="N4" s="7">
        <v>0</v>
      </c>
      <c r="O4" s="7">
        <v>0</v>
      </c>
      <c r="P4" s="7">
        <v>0</v>
      </c>
      <c r="Q4" s="7"/>
      <c r="R4" s="7"/>
      <c r="S4" s="7"/>
      <c r="T4" s="7"/>
      <c r="U4" s="7"/>
      <c r="V4" s="7"/>
      <c r="W4" s="7"/>
      <c r="X4" s="7">
        <v>0</v>
      </c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预存汇总页</vt:lpstr>
      <vt:lpstr>分类汇总</vt:lpstr>
      <vt:lpstr>预存机票</vt:lpstr>
      <vt:lpstr>预存会员酒店</vt:lpstr>
      <vt:lpstr>预存增值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小鹅通-招财鹅</cp:lastModifiedBy>
  <dcterms:created xsi:type="dcterms:W3CDTF">2025-02-13T10:02:00Z</dcterms:created>
  <dcterms:modified xsi:type="dcterms:W3CDTF">2026-02-02T02:02:15Z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8A18C02EE1A8453F965BB691AF7340F9_13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